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D2060A5-043E-46CE-9530-B4F35A8656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set" sheetId="2" r:id="rId1"/>
    <sheet name="Instructions" sheetId="1" r:id="rId2"/>
    <sheet name="Sheet1" sheetId="3" r:id="rId3"/>
    <sheet name="Sheet2" sheetId="4" r:id="rId4"/>
    <sheet name="Sheet3" sheetId="5" r:id="rId5"/>
    <sheet name="Sheet4" sheetId="6" r:id="rId6"/>
    <sheet name="Sheet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xxdYPntQl+bO0ka4qHfhA4BnM4OowOuFpS2wlv4H/kM="/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2" i="7"/>
  <c r="G4" i="7"/>
  <c r="G2" i="7"/>
  <c r="G3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J5" i="6"/>
  <c r="J4" i="6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K5" i="4"/>
  <c r="K4" i="4"/>
  <c r="L6" i="3"/>
  <c r="L5" i="3"/>
  <c r="L4" i="3"/>
</calcChain>
</file>

<file path=xl/sharedStrings.xml><?xml version="1.0" encoding="utf-8"?>
<sst xmlns="http://schemas.openxmlformats.org/spreadsheetml/2006/main" count="887" uniqueCount="124">
  <si>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</si>
  <si>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</si>
  <si>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</si>
  <si>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</si>
  <si>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</si>
  <si>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</si>
  <si>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</si>
  <si>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</si>
  <si>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</si>
  <si>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</si>
  <si>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</si>
  <si>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</si>
  <si>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</si>
  <si>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</si>
  <si>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</si>
  <si>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</si>
  <si>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</si>
  <si>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</si>
  <si>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</si>
  <si>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</si>
  <si>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</si>
  <si>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</si>
  <si>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</si>
  <si>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</si>
  <si>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</si>
  <si>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</si>
  <si>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</si>
  <si>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</si>
  <si>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</si>
  <si>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</si>
  <si>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</si>
  <si>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</si>
  <si>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</si>
  <si>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</si>
  <si>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</si>
  <si>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</si>
  <si>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</si>
  <si>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</si>
  <si>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</si>
  <si>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</si>
  <si>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</si>
  <si>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</si>
  <si>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</si>
  <si>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</si>
  <si>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</si>
  <si>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</si>
  <si>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</si>
  <si>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</si>
  <si>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</si>
  <si>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</si>
  <si>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</si>
  <si>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</si>
  <si>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</si>
  <si>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</si>
  <si>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</si>
  <si>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</si>
  <si>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</si>
  <si>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</si>
  <si>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</si>
  <si>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</si>
  <si>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</si>
  <si>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</si>
  <si>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</si>
  <si>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</si>
  <si>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</si>
  <si>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</si>
  <si>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</si>
  <si>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</si>
  <si>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</si>
  <si>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</si>
  <si>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</si>
  <si>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</si>
  <si>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</si>
  <si>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</si>
  <si>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</si>
  <si>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</si>
  <si>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</si>
  <si>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</si>
  <si>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</si>
  <si>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</si>
  <si>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</si>
  <si>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</si>
  <si>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</si>
  <si>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</si>
  <si>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</si>
  <si>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</si>
  <si>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</si>
  <si>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</si>
  <si>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</si>
  <si>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</si>
  <si>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</si>
  <si>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</si>
  <si>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</si>
  <si>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</si>
  <si>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</si>
  <si>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</si>
  <si>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</si>
  <si>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</si>
  <si>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</si>
  <si>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</si>
  <si>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</si>
  <si>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</si>
  <si>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</si>
  <si>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</si>
  <si>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</si>
  <si>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</si>
  <si>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</si>
  <si>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</si>
  <si>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</si>
  <si>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</si>
  <si>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Task</t>
  </si>
  <si>
    <t>Result</t>
  </si>
  <si>
    <t>Total Price</t>
  </si>
  <si>
    <t>Product Count</t>
  </si>
  <si>
    <t>Average  Price</t>
  </si>
  <si>
    <t xml:space="preserve"> </t>
  </si>
  <si>
    <t>Minimum Price</t>
  </si>
  <si>
    <t>Maximum price</t>
  </si>
  <si>
    <t>Price Range</t>
  </si>
  <si>
    <t>Total Price for products in the "Electronics" Category.</t>
  </si>
  <si>
    <t>Products with a price less than $100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</si>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</sst>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rgb="FF4DD0E1"/>
      </patternFill>
    </fill>
    <fill>
      <patternFill patternType="solid">
        <fgColor theme="4" tint="0.79998168889431442"/>
        <bgColor rgb="FFE0F7FA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6" fillId="0" borderId="1" xfId="0" applyFont="1" applyBorder="1"/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/>
    <xf numFmtId="0" fontId="7" fillId="0" borderId="0" xfId="0" applyFont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8" fillId="8" borderId="1" xfId="0" applyFont="1" applyFill="1" applyBorder="1"/>
    <xf numFmtId="0" fontId="0" fillId="8" borderId="1" xfId="0" applyFill="1" applyBorder="1"/>
    <xf numFmtId="0" fontId="8" fillId="0" borderId="0" xfId="0" applyFont="1"/>
    <xf numFmtId="0" fontId="0" fillId="0" borderId="1" xfId="0" applyBorder="1"/>
    <xf numFmtId="0" fontId="8" fillId="9" borderId="1" xfId="0" applyFont="1" applyFill="1" applyBorder="1"/>
    <xf numFmtId="0" fontId="0" fillId="9" borderId="1" xfId="0" applyFill="1" applyBorder="1"/>
    <xf numFmtId="0" fontId="7" fillId="10" borderId="1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0" fillId="11" borderId="1" xfId="0" applyFill="1" applyBorder="1"/>
    <xf numFmtId="0" fontId="7" fillId="12" borderId="1" xfId="0" applyFont="1" applyFill="1" applyBorder="1" applyAlignment="1">
      <alignment horizontal="center"/>
    </xf>
    <xf numFmtId="0" fontId="10" fillId="13" borderId="1" xfId="0" applyFont="1" applyFill="1" applyBorder="1"/>
    <xf numFmtId="0" fontId="0" fillId="13" borderId="1" xfId="0" applyFill="1" applyBorder="1"/>
    <xf numFmtId="0" fontId="9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abSelected="1" workbookViewId="0">
      <selection activeCell="I14" sqref="I14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O17" sqref="O17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F3C9-7140-4B79-B9AA-B9CBD0082B8E}">
  <dimension ref="A1:M35"/>
  <sheetViews>
    <sheetView workbookViewId="0">
      <selection activeCell="K5" sqref="K5"/>
    </sheetView>
  </sheetViews>
  <sheetFormatPr defaultColWidth="13.33203125" defaultRowHeight="19.2" customHeight="1" x14ac:dyDescent="0.25"/>
  <cols>
    <col min="10" max="10" width="10.6640625" customWidth="1"/>
    <col min="11" max="11" width="24.44140625" customWidth="1"/>
  </cols>
  <sheetData>
    <row r="1" spans="1:13" ht="19.2" customHeight="1" x14ac:dyDescent="0.25">
      <c r="A1" s="11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</row>
    <row r="2" spans="1:13" ht="19.2" customHeight="1" x14ac:dyDescent="0.25">
      <c r="A2" s="10" t="s">
        <v>23</v>
      </c>
      <c r="B2" s="10" t="s">
        <v>24</v>
      </c>
      <c r="C2" s="10" t="s">
        <v>25</v>
      </c>
      <c r="D2" s="10">
        <v>1000</v>
      </c>
      <c r="E2" s="10">
        <v>30</v>
      </c>
      <c r="F2" s="10" t="s">
        <v>26</v>
      </c>
    </row>
    <row r="3" spans="1:13" ht="19.2" customHeight="1" x14ac:dyDescent="0.25">
      <c r="A3" s="12" t="s">
        <v>27</v>
      </c>
      <c r="B3" s="12" t="s">
        <v>28</v>
      </c>
      <c r="C3" s="12" t="s">
        <v>29</v>
      </c>
      <c r="D3" s="12">
        <v>80</v>
      </c>
      <c r="E3" s="12">
        <v>15</v>
      </c>
      <c r="F3" s="12" t="s">
        <v>30</v>
      </c>
      <c r="K3" s="14" t="s">
        <v>110</v>
      </c>
      <c r="L3" s="14" t="s">
        <v>111</v>
      </c>
      <c r="M3" s="13"/>
    </row>
    <row r="4" spans="1:13" ht="19.2" customHeight="1" x14ac:dyDescent="0.25">
      <c r="A4" s="10" t="s">
        <v>31</v>
      </c>
      <c r="B4" s="10" t="s">
        <v>32</v>
      </c>
      <c r="C4" s="10" t="s">
        <v>33</v>
      </c>
      <c r="D4" s="10">
        <v>130</v>
      </c>
      <c r="E4" s="10">
        <v>40</v>
      </c>
      <c r="F4" s="10" t="s">
        <v>34</v>
      </c>
      <c r="K4" s="15" t="s">
        <v>112</v>
      </c>
      <c r="L4" s="16">
        <f>SUM(D2:D35)</f>
        <v>10100</v>
      </c>
    </row>
    <row r="5" spans="1:13" ht="19.2" customHeight="1" x14ac:dyDescent="0.25">
      <c r="A5" s="12" t="s">
        <v>35</v>
      </c>
      <c r="B5" s="12" t="s">
        <v>36</v>
      </c>
      <c r="C5" s="12" t="s">
        <v>37</v>
      </c>
      <c r="D5" s="12">
        <v>900</v>
      </c>
      <c r="E5" s="12">
        <v>25</v>
      </c>
      <c r="F5" s="12" t="s">
        <v>26</v>
      </c>
      <c r="K5" s="15" t="s">
        <v>113</v>
      </c>
      <c r="L5" s="16">
        <f>COUNT(D2:D35)</f>
        <v>34</v>
      </c>
    </row>
    <row r="6" spans="1:13" ht="19.2" customHeight="1" x14ac:dyDescent="0.25">
      <c r="A6" s="10" t="s">
        <v>38</v>
      </c>
      <c r="B6" s="10" t="s">
        <v>39</v>
      </c>
      <c r="C6" s="10" t="s">
        <v>40</v>
      </c>
      <c r="D6" s="10">
        <v>70</v>
      </c>
      <c r="E6" s="10">
        <v>20</v>
      </c>
      <c r="F6" s="10" t="s">
        <v>41</v>
      </c>
      <c r="K6" s="15" t="s">
        <v>114</v>
      </c>
      <c r="L6" s="16">
        <f>AVERAGE(D2:D35)</f>
        <v>297.05882352941177</v>
      </c>
    </row>
    <row r="7" spans="1:13" ht="19.2" customHeight="1" x14ac:dyDescent="0.25">
      <c r="A7" s="12" t="s">
        <v>42</v>
      </c>
      <c r="B7" s="12" t="s">
        <v>43</v>
      </c>
      <c r="C7" s="12" t="s">
        <v>44</v>
      </c>
      <c r="D7" s="12">
        <v>200</v>
      </c>
      <c r="E7" s="12">
        <v>45</v>
      </c>
      <c r="F7" s="12" t="s">
        <v>26</v>
      </c>
    </row>
    <row r="8" spans="1:13" ht="19.2" customHeight="1" x14ac:dyDescent="0.25">
      <c r="A8" s="10" t="s">
        <v>45</v>
      </c>
      <c r="B8" s="10" t="s">
        <v>46</v>
      </c>
      <c r="C8" s="10" t="s">
        <v>47</v>
      </c>
      <c r="D8" s="10">
        <v>30</v>
      </c>
      <c r="E8" s="10">
        <v>5</v>
      </c>
      <c r="F8" s="10" t="s">
        <v>30</v>
      </c>
    </row>
    <row r="9" spans="1:13" ht="19.2" customHeight="1" x14ac:dyDescent="0.25">
      <c r="A9" s="12" t="s">
        <v>48</v>
      </c>
      <c r="B9" s="12" t="s">
        <v>49</v>
      </c>
      <c r="C9" s="12" t="s">
        <v>50</v>
      </c>
      <c r="D9" s="12">
        <v>90</v>
      </c>
      <c r="E9" s="12">
        <v>35</v>
      </c>
      <c r="F9" s="12" t="s">
        <v>34</v>
      </c>
    </row>
    <row r="10" spans="1:13" ht="19.2" customHeight="1" x14ac:dyDescent="0.25">
      <c r="A10" s="10" t="s">
        <v>51</v>
      </c>
      <c r="B10" s="10" t="s">
        <v>52</v>
      </c>
      <c r="C10" s="10" t="s">
        <v>53</v>
      </c>
      <c r="D10" s="10">
        <v>500</v>
      </c>
      <c r="E10" s="10">
        <v>50</v>
      </c>
      <c r="F10" s="10" t="s">
        <v>26</v>
      </c>
      <c r="K10" t="s">
        <v>115</v>
      </c>
    </row>
    <row r="11" spans="1:13" ht="19.2" customHeight="1" x14ac:dyDescent="0.25">
      <c r="A11" s="12" t="s">
        <v>54</v>
      </c>
      <c r="B11" s="12" t="s">
        <v>55</v>
      </c>
      <c r="C11" s="12" t="s">
        <v>56</v>
      </c>
      <c r="D11" s="12">
        <v>130</v>
      </c>
      <c r="E11" s="12">
        <v>10</v>
      </c>
      <c r="F11" s="12" t="s">
        <v>41</v>
      </c>
    </row>
    <row r="12" spans="1:13" ht="19.2" customHeight="1" x14ac:dyDescent="0.25">
      <c r="A12" s="10" t="s">
        <v>57</v>
      </c>
      <c r="B12" s="10" t="s">
        <v>24</v>
      </c>
      <c r="C12" s="10" t="s">
        <v>58</v>
      </c>
      <c r="D12" s="10">
        <v>950</v>
      </c>
      <c r="E12" s="10">
        <v>25</v>
      </c>
      <c r="F12" s="10" t="s">
        <v>26</v>
      </c>
    </row>
    <row r="13" spans="1:13" ht="19.2" customHeight="1" x14ac:dyDescent="0.25">
      <c r="A13" s="12" t="s">
        <v>59</v>
      </c>
      <c r="B13" s="12" t="s">
        <v>28</v>
      </c>
      <c r="C13" s="12" t="s">
        <v>47</v>
      </c>
      <c r="D13" s="12">
        <v>90</v>
      </c>
      <c r="E13" s="12">
        <v>40</v>
      </c>
      <c r="F13" s="12" t="s">
        <v>30</v>
      </c>
    </row>
    <row r="14" spans="1:13" ht="19.2" customHeight="1" x14ac:dyDescent="0.25">
      <c r="A14" s="10" t="s">
        <v>60</v>
      </c>
      <c r="B14" s="10" t="s">
        <v>32</v>
      </c>
      <c r="C14" s="10" t="s">
        <v>61</v>
      </c>
      <c r="D14" s="10">
        <v>120</v>
      </c>
      <c r="E14" s="10">
        <v>35</v>
      </c>
      <c r="F14" s="10" t="s">
        <v>34</v>
      </c>
    </row>
    <row r="15" spans="1:13" ht="19.2" customHeight="1" x14ac:dyDescent="0.25">
      <c r="A15" s="12" t="s">
        <v>62</v>
      </c>
      <c r="B15" s="12" t="s">
        <v>63</v>
      </c>
      <c r="C15" s="12" t="s">
        <v>64</v>
      </c>
      <c r="D15" s="12">
        <v>150</v>
      </c>
      <c r="E15" s="12">
        <v>15</v>
      </c>
      <c r="F15" s="12" t="s">
        <v>26</v>
      </c>
    </row>
    <row r="16" spans="1:13" ht="19.2" customHeight="1" x14ac:dyDescent="0.25">
      <c r="A16" s="10" t="s">
        <v>65</v>
      </c>
      <c r="B16" s="10" t="s">
        <v>43</v>
      </c>
      <c r="C16" s="10" t="s">
        <v>66</v>
      </c>
      <c r="D16" s="10">
        <v>250</v>
      </c>
      <c r="E16" s="10">
        <v>20</v>
      </c>
      <c r="F16" s="10" t="s">
        <v>26</v>
      </c>
    </row>
    <row r="17" spans="1:6" ht="19.2" customHeight="1" x14ac:dyDescent="0.25">
      <c r="A17" s="12" t="s">
        <v>67</v>
      </c>
      <c r="B17" s="12" t="s">
        <v>68</v>
      </c>
      <c r="C17" s="12" t="s">
        <v>69</v>
      </c>
      <c r="D17" s="12">
        <v>50</v>
      </c>
      <c r="E17" s="12">
        <v>35</v>
      </c>
      <c r="F17" s="12" t="s">
        <v>70</v>
      </c>
    </row>
    <row r="18" spans="1:6" ht="19.2" customHeight="1" x14ac:dyDescent="0.25">
      <c r="A18" s="10" t="s">
        <v>71</v>
      </c>
      <c r="B18" s="10" t="s">
        <v>63</v>
      </c>
      <c r="C18" s="10" t="s">
        <v>72</v>
      </c>
      <c r="D18" s="10">
        <v>160</v>
      </c>
      <c r="E18" s="10">
        <v>15</v>
      </c>
      <c r="F18" s="10" t="s">
        <v>26</v>
      </c>
    </row>
    <row r="19" spans="1:6" ht="19.2" customHeight="1" x14ac:dyDescent="0.25">
      <c r="A19" s="12" t="s">
        <v>73</v>
      </c>
      <c r="B19" s="12" t="s">
        <v>24</v>
      </c>
      <c r="C19" s="12" t="s">
        <v>74</v>
      </c>
      <c r="D19" s="12">
        <v>980</v>
      </c>
      <c r="E19" s="12">
        <v>10</v>
      </c>
      <c r="F19" s="12" t="s">
        <v>26</v>
      </c>
    </row>
    <row r="20" spans="1:6" ht="19.2" customHeight="1" x14ac:dyDescent="0.25">
      <c r="A20" s="10" t="s">
        <v>75</v>
      </c>
      <c r="B20" s="10" t="s">
        <v>76</v>
      </c>
      <c r="C20" s="10" t="s">
        <v>77</v>
      </c>
      <c r="D20" s="10">
        <v>150</v>
      </c>
      <c r="E20" s="10">
        <v>15</v>
      </c>
      <c r="F20" s="10" t="s">
        <v>30</v>
      </c>
    </row>
    <row r="21" spans="1:6" ht="19.2" customHeight="1" x14ac:dyDescent="0.25">
      <c r="A21" s="12" t="s">
        <v>78</v>
      </c>
      <c r="B21" s="12" t="s">
        <v>79</v>
      </c>
      <c r="C21" s="12" t="s">
        <v>80</v>
      </c>
      <c r="D21" s="12">
        <v>200</v>
      </c>
      <c r="E21" s="12">
        <v>10</v>
      </c>
      <c r="F21" s="12" t="s">
        <v>41</v>
      </c>
    </row>
    <row r="22" spans="1:6" ht="19.2" customHeight="1" x14ac:dyDescent="0.25">
      <c r="A22" s="10" t="s">
        <v>81</v>
      </c>
      <c r="B22" s="10" t="s">
        <v>82</v>
      </c>
      <c r="C22" s="10" t="s">
        <v>83</v>
      </c>
      <c r="D22" s="10">
        <v>700</v>
      </c>
      <c r="E22" s="10">
        <v>50</v>
      </c>
      <c r="F22" s="10" t="s">
        <v>26</v>
      </c>
    </row>
    <row r="23" spans="1:6" ht="19.2" customHeight="1" x14ac:dyDescent="0.25">
      <c r="A23" s="12" t="s">
        <v>84</v>
      </c>
      <c r="B23" s="12" t="s">
        <v>85</v>
      </c>
      <c r="C23" s="12" t="s">
        <v>86</v>
      </c>
      <c r="D23" s="12">
        <v>80</v>
      </c>
      <c r="E23" s="12">
        <v>20</v>
      </c>
      <c r="F23" s="12" t="s">
        <v>34</v>
      </c>
    </row>
    <row r="24" spans="1:6" ht="19.2" customHeight="1" x14ac:dyDescent="0.25">
      <c r="A24" s="10" t="s">
        <v>87</v>
      </c>
      <c r="B24" s="10" t="s">
        <v>88</v>
      </c>
      <c r="C24" s="10" t="s">
        <v>89</v>
      </c>
      <c r="D24" s="10">
        <v>150</v>
      </c>
      <c r="E24" s="10">
        <v>30</v>
      </c>
      <c r="F24" s="10" t="s">
        <v>26</v>
      </c>
    </row>
    <row r="25" spans="1:6" ht="19.2" customHeight="1" x14ac:dyDescent="0.25">
      <c r="A25" s="12" t="s">
        <v>67</v>
      </c>
      <c r="B25" s="12" t="s">
        <v>68</v>
      </c>
      <c r="C25" s="12" t="s">
        <v>69</v>
      </c>
      <c r="D25" s="12">
        <v>50</v>
      </c>
      <c r="E25" s="12">
        <v>35</v>
      </c>
      <c r="F25" s="12" t="s">
        <v>70</v>
      </c>
    </row>
    <row r="26" spans="1:6" ht="19.2" customHeight="1" x14ac:dyDescent="0.25">
      <c r="A26" s="10" t="s">
        <v>90</v>
      </c>
      <c r="B26" s="10" t="s">
        <v>36</v>
      </c>
      <c r="C26" s="10" t="s">
        <v>91</v>
      </c>
      <c r="D26" s="10">
        <v>800</v>
      </c>
      <c r="E26" s="10">
        <v>45</v>
      </c>
      <c r="F26" s="10" t="s">
        <v>26</v>
      </c>
    </row>
    <row r="27" spans="1:6" ht="19.2" customHeight="1" x14ac:dyDescent="0.25">
      <c r="A27" s="12" t="s">
        <v>92</v>
      </c>
      <c r="B27" s="12" t="s">
        <v>76</v>
      </c>
      <c r="C27" s="12" t="s">
        <v>93</v>
      </c>
      <c r="D27" s="12">
        <v>130</v>
      </c>
      <c r="E27" s="12">
        <v>25</v>
      </c>
      <c r="F27" s="12" t="s">
        <v>30</v>
      </c>
    </row>
    <row r="28" spans="1:6" ht="19.2" customHeight="1" x14ac:dyDescent="0.25">
      <c r="A28" s="10" t="s">
        <v>94</v>
      </c>
      <c r="B28" s="10" t="s">
        <v>49</v>
      </c>
      <c r="C28" s="10" t="s">
        <v>95</v>
      </c>
      <c r="D28" s="10">
        <v>400</v>
      </c>
      <c r="E28" s="10">
        <v>40</v>
      </c>
      <c r="F28" s="10" t="s">
        <v>34</v>
      </c>
    </row>
    <row r="29" spans="1:6" ht="19.2" customHeight="1" x14ac:dyDescent="0.25">
      <c r="A29" s="12" t="s">
        <v>65</v>
      </c>
      <c r="B29" s="12" t="s">
        <v>43</v>
      </c>
      <c r="C29" s="12" t="s">
        <v>66</v>
      </c>
      <c r="D29" s="12">
        <v>230</v>
      </c>
      <c r="E29" s="12">
        <v>20</v>
      </c>
      <c r="F29" s="12" t="s">
        <v>26</v>
      </c>
    </row>
    <row r="30" spans="1:6" ht="19.2" customHeight="1" x14ac:dyDescent="0.25">
      <c r="A30" s="10" t="s">
        <v>96</v>
      </c>
      <c r="B30" s="10" t="s">
        <v>97</v>
      </c>
      <c r="C30" s="10" t="s">
        <v>98</v>
      </c>
      <c r="D30" s="10">
        <v>60</v>
      </c>
      <c r="E30" s="10">
        <v>30</v>
      </c>
      <c r="F30" s="10" t="s">
        <v>30</v>
      </c>
    </row>
    <row r="31" spans="1:6" ht="19.2" customHeight="1" x14ac:dyDescent="0.25">
      <c r="A31" s="12" t="s">
        <v>99</v>
      </c>
      <c r="B31" s="12" t="s">
        <v>100</v>
      </c>
      <c r="C31" s="12" t="s">
        <v>101</v>
      </c>
      <c r="D31" s="12">
        <v>40</v>
      </c>
      <c r="E31" s="12">
        <v>10</v>
      </c>
      <c r="F31" s="12" t="s">
        <v>34</v>
      </c>
    </row>
    <row r="32" spans="1:6" ht="19.2" customHeight="1" x14ac:dyDescent="0.25">
      <c r="A32" s="10" t="s">
        <v>102</v>
      </c>
      <c r="B32" s="10" t="s">
        <v>88</v>
      </c>
      <c r="C32" s="10" t="s">
        <v>103</v>
      </c>
      <c r="D32" s="10">
        <v>130</v>
      </c>
      <c r="E32" s="10">
        <v>5</v>
      </c>
      <c r="F32" s="10" t="s">
        <v>26</v>
      </c>
    </row>
    <row r="33" spans="1:6" ht="19.2" customHeight="1" x14ac:dyDescent="0.25">
      <c r="A33" s="12" t="s">
        <v>104</v>
      </c>
      <c r="B33" s="12" t="s">
        <v>105</v>
      </c>
      <c r="C33" s="12" t="s">
        <v>106</v>
      </c>
      <c r="D33" s="12">
        <v>50</v>
      </c>
      <c r="E33" s="12">
        <v>50</v>
      </c>
      <c r="F33" s="12" t="s">
        <v>30</v>
      </c>
    </row>
    <row r="34" spans="1:6" ht="19.2" customHeight="1" x14ac:dyDescent="0.25">
      <c r="A34" s="10" t="s">
        <v>57</v>
      </c>
      <c r="B34" s="10" t="s">
        <v>24</v>
      </c>
      <c r="C34" s="10" t="s">
        <v>58</v>
      </c>
      <c r="D34" s="10">
        <v>950</v>
      </c>
      <c r="E34" s="10">
        <v>25</v>
      </c>
      <c r="F34" s="10" t="s">
        <v>26</v>
      </c>
    </row>
    <row r="35" spans="1:6" ht="19.2" customHeight="1" x14ac:dyDescent="0.25">
      <c r="A35" s="12" t="s">
        <v>107</v>
      </c>
      <c r="B35" s="12" t="s">
        <v>108</v>
      </c>
      <c r="C35" s="12" t="s">
        <v>109</v>
      </c>
      <c r="D35" s="12">
        <v>100</v>
      </c>
      <c r="E35" s="12">
        <v>20</v>
      </c>
      <c r="F35" s="1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C453-B04F-4491-9B78-B0227AADBF7A}">
  <dimension ref="A1:K35"/>
  <sheetViews>
    <sheetView workbookViewId="0">
      <selection activeCell="G8" sqref="G8"/>
    </sheetView>
  </sheetViews>
  <sheetFormatPr defaultColWidth="13.88671875" defaultRowHeight="19.2" customHeight="1" x14ac:dyDescent="0.25"/>
  <cols>
    <col min="10" max="10" width="18.33203125" customWidth="1"/>
  </cols>
  <sheetData>
    <row r="1" spans="1:11" ht="22.2" customHeight="1" x14ac:dyDescent="0.25">
      <c r="A1" s="11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</row>
    <row r="2" spans="1:11" ht="19.2" customHeight="1" x14ac:dyDescent="0.25">
      <c r="A2" s="10" t="s">
        <v>23</v>
      </c>
      <c r="B2" s="10" t="s">
        <v>24</v>
      </c>
      <c r="C2" s="10" t="s">
        <v>25</v>
      </c>
      <c r="D2" s="10">
        <v>1000</v>
      </c>
      <c r="E2" s="10">
        <v>30</v>
      </c>
      <c r="F2" s="10" t="s">
        <v>26</v>
      </c>
    </row>
    <row r="3" spans="1:11" ht="19.2" customHeight="1" x14ac:dyDescent="0.25">
      <c r="A3" s="12" t="s">
        <v>27</v>
      </c>
      <c r="B3" s="12" t="s">
        <v>28</v>
      </c>
      <c r="C3" s="12" t="s">
        <v>29</v>
      </c>
      <c r="D3" s="12">
        <v>80</v>
      </c>
      <c r="E3" s="12">
        <v>15</v>
      </c>
      <c r="F3" s="12" t="s">
        <v>30</v>
      </c>
      <c r="J3" s="21" t="s">
        <v>110</v>
      </c>
      <c r="K3" s="21" t="s">
        <v>111</v>
      </c>
    </row>
    <row r="4" spans="1:11" ht="19.2" customHeight="1" x14ac:dyDescent="0.25">
      <c r="A4" s="10" t="s">
        <v>31</v>
      </c>
      <c r="B4" s="10" t="s">
        <v>32</v>
      </c>
      <c r="C4" s="10" t="s">
        <v>33</v>
      </c>
      <c r="D4" s="10">
        <v>130</v>
      </c>
      <c r="E4" s="10">
        <v>40</v>
      </c>
      <c r="F4" s="10" t="s">
        <v>34</v>
      </c>
      <c r="J4" s="19" t="s">
        <v>116</v>
      </c>
      <c r="K4" s="20">
        <f>MIN(D2:D35)</f>
        <v>30</v>
      </c>
    </row>
    <row r="5" spans="1:11" ht="19.2" customHeight="1" x14ac:dyDescent="0.25">
      <c r="A5" s="12" t="s">
        <v>35</v>
      </c>
      <c r="B5" s="12" t="s">
        <v>36</v>
      </c>
      <c r="C5" s="12" t="s">
        <v>37</v>
      </c>
      <c r="D5" s="12">
        <v>900</v>
      </c>
      <c r="E5" s="12">
        <v>25</v>
      </c>
      <c r="F5" s="12" t="s">
        <v>26</v>
      </c>
      <c r="J5" s="19" t="s">
        <v>117</v>
      </c>
      <c r="K5" s="20">
        <f>MAX(D2:D35)</f>
        <v>1000</v>
      </c>
    </row>
    <row r="6" spans="1:11" ht="19.2" customHeight="1" x14ac:dyDescent="0.25">
      <c r="A6" s="10" t="s">
        <v>38</v>
      </c>
      <c r="B6" s="10" t="s">
        <v>39</v>
      </c>
      <c r="C6" s="10" t="s">
        <v>40</v>
      </c>
      <c r="D6" s="10">
        <v>70</v>
      </c>
      <c r="E6" s="10">
        <v>20</v>
      </c>
      <c r="F6" s="10" t="s">
        <v>41</v>
      </c>
    </row>
    <row r="7" spans="1:11" ht="19.2" customHeight="1" x14ac:dyDescent="0.25">
      <c r="A7" s="12" t="s">
        <v>42</v>
      </c>
      <c r="B7" s="12" t="s">
        <v>43</v>
      </c>
      <c r="C7" s="12" t="s">
        <v>44</v>
      </c>
      <c r="D7" s="12">
        <v>200</v>
      </c>
      <c r="E7" s="12">
        <v>45</v>
      </c>
      <c r="F7" s="12" t="s">
        <v>26</v>
      </c>
    </row>
    <row r="8" spans="1:11" ht="19.2" customHeight="1" x14ac:dyDescent="0.25">
      <c r="A8" s="10" t="s">
        <v>45</v>
      </c>
      <c r="B8" s="10" t="s">
        <v>46</v>
      </c>
      <c r="C8" s="10" t="s">
        <v>47</v>
      </c>
      <c r="D8" s="10">
        <v>30</v>
      </c>
      <c r="E8" s="10">
        <v>5</v>
      </c>
      <c r="F8" s="10" t="s">
        <v>30</v>
      </c>
    </row>
    <row r="9" spans="1:11" ht="19.2" customHeight="1" x14ac:dyDescent="0.25">
      <c r="A9" s="12" t="s">
        <v>48</v>
      </c>
      <c r="B9" s="12" t="s">
        <v>49</v>
      </c>
      <c r="C9" s="12" t="s">
        <v>50</v>
      </c>
      <c r="D9" s="12">
        <v>90</v>
      </c>
      <c r="E9" s="12">
        <v>35</v>
      </c>
      <c r="F9" s="12" t="s">
        <v>34</v>
      </c>
    </row>
    <row r="10" spans="1:11" ht="19.2" customHeight="1" x14ac:dyDescent="0.25">
      <c r="A10" s="10" t="s">
        <v>51</v>
      </c>
      <c r="B10" s="10" t="s">
        <v>52</v>
      </c>
      <c r="C10" s="10" t="s">
        <v>53</v>
      </c>
      <c r="D10" s="10">
        <v>500</v>
      </c>
      <c r="E10" s="10">
        <v>50</v>
      </c>
      <c r="F10" s="10" t="s">
        <v>26</v>
      </c>
    </row>
    <row r="11" spans="1:11" ht="19.2" customHeight="1" x14ac:dyDescent="0.25">
      <c r="A11" s="12" t="s">
        <v>54</v>
      </c>
      <c r="B11" s="12" t="s">
        <v>55</v>
      </c>
      <c r="C11" s="12" t="s">
        <v>56</v>
      </c>
      <c r="D11" s="12">
        <v>130</v>
      </c>
      <c r="E11" s="12">
        <v>10</v>
      </c>
      <c r="F11" s="12" t="s">
        <v>41</v>
      </c>
    </row>
    <row r="12" spans="1:11" ht="19.2" customHeight="1" x14ac:dyDescent="0.25">
      <c r="A12" s="10" t="s">
        <v>57</v>
      </c>
      <c r="B12" s="10" t="s">
        <v>24</v>
      </c>
      <c r="C12" s="10" t="s">
        <v>58</v>
      </c>
      <c r="D12" s="10">
        <v>950</v>
      </c>
      <c r="E12" s="10">
        <v>25</v>
      </c>
      <c r="F12" s="10" t="s">
        <v>26</v>
      </c>
    </row>
    <row r="13" spans="1:11" ht="19.2" customHeight="1" x14ac:dyDescent="0.25">
      <c r="A13" s="12" t="s">
        <v>59</v>
      </c>
      <c r="B13" s="12" t="s">
        <v>28</v>
      </c>
      <c r="C13" s="12" t="s">
        <v>47</v>
      </c>
      <c r="D13" s="12">
        <v>90</v>
      </c>
      <c r="E13" s="12">
        <v>40</v>
      </c>
      <c r="F13" s="12" t="s">
        <v>30</v>
      </c>
    </row>
    <row r="14" spans="1:11" ht="19.2" customHeight="1" x14ac:dyDescent="0.25">
      <c r="A14" s="10" t="s">
        <v>60</v>
      </c>
      <c r="B14" s="10" t="s">
        <v>32</v>
      </c>
      <c r="C14" s="10" t="s">
        <v>61</v>
      </c>
      <c r="D14" s="10">
        <v>120</v>
      </c>
      <c r="E14" s="10">
        <v>35</v>
      </c>
      <c r="F14" s="10" t="s">
        <v>34</v>
      </c>
    </row>
    <row r="15" spans="1:11" ht="19.2" customHeight="1" x14ac:dyDescent="0.25">
      <c r="A15" s="12" t="s">
        <v>62</v>
      </c>
      <c r="B15" s="12" t="s">
        <v>63</v>
      </c>
      <c r="C15" s="12" t="s">
        <v>64</v>
      </c>
      <c r="D15" s="12">
        <v>150</v>
      </c>
      <c r="E15" s="12">
        <v>15</v>
      </c>
      <c r="F15" s="12" t="s">
        <v>26</v>
      </c>
    </row>
    <row r="16" spans="1:11" ht="19.2" customHeight="1" x14ac:dyDescent="0.25">
      <c r="A16" s="10" t="s">
        <v>65</v>
      </c>
      <c r="B16" s="10" t="s">
        <v>43</v>
      </c>
      <c r="C16" s="10" t="s">
        <v>66</v>
      </c>
      <c r="D16" s="10">
        <v>250</v>
      </c>
      <c r="E16" s="10">
        <v>20</v>
      </c>
      <c r="F16" s="10" t="s">
        <v>26</v>
      </c>
    </row>
    <row r="17" spans="1:6" ht="19.2" customHeight="1" x14ac:dyDescent="0.25">
      <c r="A17" s="12" t="s">
        <v>67</v>
      </c>
      <c r="B17" s="12" t="s">
        <v>68</v>
      </c>
      <c r="C17" s="12" t="s">
        <v>69</v>
      </c>
      <c r="D17" s="12">
        <v>50</v>
      </c>
      <c r="E17" s="12">
        <v>35</v>
      </c>
      <c r="F17" s="12" t="s">
        <v>70</v>
      </c>
    </row>
    <row r="18" spans="1:6" ht="19.2" customHeight="1" x14ac:dyDescent="0.25">
      <c r="A18" s="10" t="s">
        <v>71</v>
      </c>
      <c r="B18" s="10" t="s">
        <v>63</v>
      </c>
      <c r="C18" s="10" t="s">
        <v>72</v>
      </c>
      <c r="D18" s="10">
        <v>160</v>
      </c>
      <c r="E18" s="10">
        <v>15</v>
      </c>
      <c r="F18" s="10" t="s">
        <v>26</v>
      </c>
    </row>
    <row r="19" spans="1:6" ht="19.2" customHeight="1" x14ac:dyDescent="0.25">
      <c r="A19" s="12" t="s">
        <v>73</v>
      </c>
      <c r="B19" s="12" t="s">
        <v>24</v>
      </c>
      <c r="C19" s="12" t="s">
        <v>74</v>
      </c>
      <c r="D19" s="12">
        <v>980</v>
      </c>
      <c r="E19" s="12">
        <v>10</v>
      </c>
      <c r="F19" s="12" t="s">
        <v>26</v>
      </c>
    </row>
    <row r="20" spans="1:6" ht="19.2" customHeight="1" x14ac:dyDescent="0.25">
      <c r="A20" s="10" t="s">
        <v>75</v>
      </c>
      <c r="B20" s="10" t="s">
        <v>76</v>
      </c>
      <c r="C20" s="10" t="s">
        <v>77</v>
      </c>
      <c r="D20" s="10">
        <v>150</v>
      </c>
      <c r="E20" s="10">
        <v>15</v>
      </c>
      <c r="F20" s="10" t="s">
        <v>30</v>
      </c>
    </row>
    <row r="21" spans="1:6" ht="19.2" customHeight="1" x14ac:dyDescent="0.25">
      <c r="A21" s="12" t="s">
        <v>78</v>
      </c>
      <c r="B21" s="12" t="s">
        <v>79</v>
      </c>
      <c r="C21" s="12" t="s">
        <v>80</v>
      </c>
      <c r="D21" s="12">
        <v>200</v>
      </c>
      <c r="E21" s="12">
        <v>10</v>
      </c>
      <c r="F21" s="12" t="s">
        <v>41</v>
      </c>
    </row>
    <row r="22" spans="1:6" ht="19.2" customHeight="1" x14ac:dyDescent="0.25">
      <c r="A22" s="10" t="s">
        <v>81</v>
      </c>
      <c r="B22" s="10" t="s">
        <v>82</v>
      </c>
      <c r="C22" s="10" t="s">
        <v>83</v>
      </c>
      <c r="D22" s="10">
        <v>700</v>
      </c>
      <c r="E22" s="10">
        <v>50</v>
      </c>
      <c r="F22" s="10" t="s">
        <v>26</v>
      </c>
    </row>
    <row r="23" spans="1:6" ht="19.2" customHeight="1" x14ac:dyDescent="0.25">
      <c r="A23" s="12" t="s">
        <v>84</v>
      </c>
      <c r="B23" s="12" t="s">
        <v>85</v>
      </c>
      <c r="C23" s="12" t="s">
        <v>86</v>
      </c>
      <c r="D23" s="12">
        <v>80</v>
      </c>
      <c r="E23" s="12">
        <v>20</v>
      </c>
      <c r="F23" s="12" t="s">
        <v>34</v>
      </c>
    </row>
    <row r="24" spans="1:6" ht="19.2" customHeight="1" x14ac:dyDescent="0.25">
      <c r="A24" s="10" t="s">
        <v>87</v>
      </c>
      <c r="B24" s="10" t="s">
        <v>88</v>
      </c>
      <c r="C24" s="10" t="s">
        <v>89</v>
      </c>
      <c r="D24" s="10">
        <v>150</v>
      </c>
      <c r="E24" s="10">
        <v>30</v>
      </c>
      <c r="F24" s="10" t="s">
        <v>26</v>
      </c>
    </row>
    <row r="25" spans="1:6" ht="19.2" customHeight="1" x14ac:dyDescent="0.25">
      <c r="A25" s="12" t="s">
        <v>67</v>
      </c>
      <c r="B25" s="12" t="s">
        <v>68</v>
      </c>
      <c r="C25" s="12" t="s">
        <v>69</v>
      </c>
      <c r="D25" s="12">
        <v>50</v>
      </c>
      <c r="E25" s="12">
        <v>35</v>
      </c>
      <c r="F25" s="12" t="s">
        <v>70</v>
      </c>
    </row>
    <row r="26" spans="1:6" ht="19.2" customHeight="1" x14ac:dyDescent="0.25">
      <c r="A26" s="10" t="s">
        <v>90</v>
      </c>
      <c r="B26" s="10" t="s">
        <v>36</v>
      </c>
      <c r="C26" s="10" t="s">
        <v>91</v>
      </c>
      <c r="D26" s="10">
        <v>800</v>
      </c>
      <c r="E26" s="10">
        <v>45</v>
      </c>
      <c r="F26" s="10" t="s">
        <v>26</v>
      </c>
    </row>
    <row r="27" spans="1:6" ht="19.2" customHeight="1" x14ac:dyDescent="0.25">
      <c r="A27" s="12" t="s">
        <v>92</v>
      </c>
      <c r="B27" s="12" t="s">
        <v>76</v>
      </c>
      <c r="C27" s="12" t="s">
        <v>93</v>
      </c>
      <c r="D27" s="12">
        <v>130</v>
      </c>
      <c r="E27" s="12">
        <v>25</v>
      </c>
      <c r="F27" s="12" t="s">
        <v>30</v>
      </c>
    </row>
    <row r="28" spans="1:6" ht="19.2" customHeight="1" x14ac:dyDescent="0.25">
      <c r="A28" s="10" t="s">
        <v>94</v>
      </c>
      <c r="B28" s="10" t="s">
        <v>49</v>
      </c>
      <c r="C28" s="10" t="s">
        <v>95</v>
      </c>
      <c r="D28" s="10">
        <v>400</v>
      </c>
      <c r="E28" s="10">
        <v>40</v>
      </c>
      <c r="F28" s="10" t="s">
        <v>34</v>
      </c>
    </row>
    <row r="29" spans="1:6" ht="19.2" customHeight="1" x14ac:dyDescent="0.25">
      <c r="A29" s="12" t="s">
        <v>65</v>
      </c>
      <c r="B29" s="12" t="s">
        <v>43</v>
      </c>
      <c r="C29" s="12" t="s">
        <v>66</v>
      </c>
      <c r="D29" s="12">
        <v>230</v>
      </c>
      <c r="E29" s="12">
        <v>20</v>
      </c>
      <c r="F29" s="12" t="s">
        <v>26</v>
      </c>
    </row>
    <row r="30" spans="1:6" ht="19.2" customHeight="1" x14ac:dyDescent="0.25">
      <c r="A30" s="10" t="s">
        <v>96</v>
      </c>
      <c r="B30" s="10" t="s">
        <v>97</v>
      </c>
      <c r="C30" s="10" t="s">
        <v>98</v>
      </c>
      <c r="D30" s="10">
        <v>60</v>
      </c>
      <c r="E30" s="10">
        <v>30</v>
      </c>
      <c r="F30" s="10" t="s">
        <v>30</v>
      </c>
    </row>
    <row r="31" spans="1:6" ht="19.2" customHeight="1" x14ac:dyDescent="0.25">
      <c r="A31" s="12" t="s">
        <v>99</v>
      </c>
      <c r="B31" s="12" t="s">
        <v>100</v>
      </c>
      <c r="C31" s="12" t="s">
        <v>101</v>
      </c>
      <c r="D31" s="12">
        <v>40</v>
      </c>
      <c r="E31" s="12">
        <v>10</v>
      </c>
      <c r="F31" s="12" t="s">
        <v>34</v>
      </c>
    </row>
    <row r="32" spans="1:6" ht="19.2" customHeight="1" x14ac:dyDescent="0.25">
      <c r="A32" s="10" t="s">
        <v>102</v>
      </c>
      <c r="B32" s="10" t="s">
        <v>88</v>
      </c>
      <c r="C32" s="10" t="s">
        <v>103</v>
      </c>
      <c r="D32" s="10">
        <v>130</v>
      </c>
      <c r="E32" s="10">
        <v>5</v>
      </c>
      <c r="F32" s="10" t="s">
        <v>26</v>
      </c>
    </row>
    <row r="33" spans="1:6" ht="19.2" customHeight="1" x14ac:dyDescent="0.25">
      <c r="A33" s="12" t="s">
        <v>104</v>
      </c>
      <c r="B33" s="12" t="s">
        <v>105</v>
      </c>
      <c r="C33" s="12" t="s">
        <v>106</v>
      </c>
      <c r="D33" s="12">
        <v>50</v>
      </c>
      <c r="E33" s="12">
        <v>50</v>
      </c>
      <c r="F33" s="12" t="s">
        <v>30</v>
      </c>
    </row>
    <row r="34" spans="1:6" ht="19.2" customHeight="1" x14ac:dyDescent="0.25">
      <c r="A34" s="10" t="s">
        <v>57</v>
      </c>
      <c r="B34" s="10" t="s">
        <v>24</v>
      </c>
      <c r="C34" s="10" t="s">
        <v>58</v>
      </c>
      <c r="D34" s="10">
        <v>950</v>
      </c>
      <c r="E34" s="10">
        <v>25</v>
      </c>
      <c r="F34" s="10" t="s">
        <v>26</v>
      </c>
    </row>
    <row r="35" spans="1:6" ht="19.2" customHeight="1" x14ac:dyDescent="0.25">
      <c r="A35" s="12" t="s">
        <v>107</v>
      </c>
      <c r="B35" s="12" t="s">
        <v>108</v>
      </c>
      <c r="C35" s="12" t="s">
        <v>109</v>
      </c>
      <c r="D35" s="12">
        <v>100</v>
      </c>
      <c r="E35" s="12">
        <v>20</v>
      </c>
      <c r="F35" s="12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8E79-5F67-4AB9-A6F8-E0B53BD2772A}">
  <dimension ref="A1:G35"/>
  <sheetViews>
    <sheetView workbookViewId="0">
      <selection activeCell="G2" sqref="G2"/>
    </sheetView>
  </sheetViews>
  <sheetFormatPr defaultColWidth="14.5546875" defaultRowHeight="20.399999999999999" customHeight="1" x14ac:dyDescent="0.25"/>
  <sheetData>
    <row r="1" spans="1:7" ht="25.2" customHeight="1" x14ac:dyDescent="0.25">
      <c r="A1" s="23" t="s">
        <v>17</v>
      </c>
      <c r="B1" s="23" t="s">
        <v>18</v>
      </c>
      <c r="C1" s="23" t="s">
        <v>19</v>
      </c>
      <c r="D1" s="23" t="s">
        <v>20</v>
      </c>
      <c r="E1" s="23" t="s">
        <v>21</v>
      </c>
      <c r="F1" s="23" t="s">
        <v>22</v>
      </c>
      <c r="G1" s="22" t="s">
        <v>118</v>
      </c>
    </row>
    <row r="2" spans="1:7" ht="20.399999999999999" customHeight="1" x14ac:dyDescent="0.25">
      <c r="A2" s="10" t="s">
        <v>23</v>
      </c>
      <c r="B2" s="10" t="s">
        <v>24</v>
      </c>
      <c r="C2" s="10" t="s">
        <v>25</v>
      </c>
      <c r="D2" s="10">
        <v>1000</v>
      </c>
      <c r="E2" s="10">
        <v>30</v>
      </c>
      <c r="F2" s="10" t="s">
        <v>26</v>
      </c>
      <c r="G2" s="18" t="str">
        <f>IF(D2&gt;=500,"High Price","Standard Price")</f>
        <v>High Price</v>
      </c>
    </row>
    <row r="3" spans="1:7" ht="20.399999999999999" customHeight="1" x14ac:dyDescent="0.25">
      <c r="A3" s="12" t="s">
        <v>27</v>
      </c>
      <c r="B3" s="12" t="s">
        <v>28</v>
      </c>
      <c r="C3" s="12" t="s">
        <v>29</v>
      </c>
      <c r="D3" s="12">
        <v>80</v>
      </c>
      <c r="E3" s="12">
        <v>15</v>
      </c>
      <c r="F3" s="12" t="s">
        <v>30</v>
      </c>
      <c r="G3" s="24" t="str">
        <f>IF(D3&gt;=500,"High Price","Standard Price")</f>
        <v>Standard Price</v>
      </c>
    </row>
    <row r="4" spans="1:7" ht="20.399999999999999" customHeight="1" x14ac:dyDescent="0.25">
      <c r="A4" s="10" t="s">
        <v>31</v>
      </c>
      <c r="B4" s="10" t="s">
        <v>32</v>
      </c>
      <c r="C4" s="10" t="s">
        <v>33</v>
      </c>
      <c r="D4" s="10">
        <v>130</v>
      </c>
      <c r="E4" s="10">
        <v>40</v>
      </c>
      <c r="F4" s="10" t="s">
        <v>34</v>
      </c>
      <c r="G4" s="18" t="str">
        <f t="shared" ref="G4:G35" si="0">IF(D4&gt;=500,"High Price","Standard Price")</f>
        <v>Standard Price</v>
      </c>
    </row>
    <row r="5" spans="1:7" ht="20.399999999999999" customHeight="1" x14ac:dyDescent="0.25">
      <c r="A5" s="12" t="s">
        <v>35</v>
      </c>
      <c r="B5" s="12" t="s">
        <v>36</v>
      </c>
      <c r="C5" s="12" t="s">
        <v>37</v>
      </c>
      <c r="D5" s="12">
        <v>900</v>
      </c>
      <c r="E5" s="12">
        <v>25</v>
      </c>
      <c r="F5" s="12" t="s">
        <v>26</v>
      </c>
      <c r="G5" s="24" t="str">
        <f t="shared" si="0"/>
        <v>High Price</v>
      </c>
    </row>
    <row r="6" spans="1:7" ht="20.399999999999999" customHeight="1" x14ac:dyDescent="0.25">
      <c r="A6" s="10" t="s">
        <v>38</v>
      </c>
      <c r="B6" s="10" t="s">
        <v>39</v>
      </c>
      <c r="C6" s="10" t="s">
        <v>40</v>
      </c>
      <c r="D6" s="10">
        <v>70</v>
      </c>
      <c r="E6" s="10">
        <v>20</v>
      </c>
      <c r="F6" s="10" t="s">
        <v>41</v>
      </c>
      <c r="G6" s="18" t="str">
        <f t="shared" si="0"/>
        <v>Standard Price</v>
      </c>
    </row>
    <row r="7" spans="1:7" ht="20.399999999999999" customHeight="1" x14ac:dyDescent="0.25">
      <c r="A7" s="12" t="s">
        <v>42</v>
      </c>
      <c r="B7" s="12" t="s">
        <v>43</v>
      </c>
      <c r="C7" s="12" t="s">
        <v>44</v>
      </c>
      <c r="D7" s="12">
        <v>200</v>
      </c>
      <c r="E7" s="12">
        <v>45</v>
      </c>
      <c r="F7" s="12" t="s">
        <v>26</v>
      </c>
      <c r="G7" s="24" t="str">
        <f t="shared" si="0"/>
        <v>Standard Price</v>
      </c>
    </row>
    <row r="8" spans="1:7" ht="20.399999999999999" customHeight="1" x14ac:dyDescent="0.25">
      <c r="A8" s="10" t="s">
        <v>45</v>
      </c>
      <c r="B8" s="10" t="s">
        <v>46</v>
      </c>
      <c r="C8" s="10" t="s">
        <v>47</v>
      </c>
      <c r="D8" s="10">
        <v>30</v>
      </c>
      <c r="E8" s="10">
        <v>5</v>
      </c>
      <c r="F8" s="10" t="s">
        <v>30</v>
      </c>
      <c r="G8" s="18" t="str">
        <f t="shared" si="0"/>
        <v>Standard Price</v>
      </c>
    </row>
    <row r="9" spans="1:7" ht="20.399999999999999" customHeight="1" x14ac:dyDescent="0.25">
      <c r="A9" s="12" t="s">
        <v>48</v>
      </c>
      <c r="B9" s="12" t="s">
        <v>49</v>
      </c>
      <c r="C9" s="12" t="s">
        <v>50</v>
      </c>
      <c r="D9" s="12">
        <v>90</v>
      </c>
      <c r="E9" s="12">
        <v>35</v>
      </c>
      <c r="F9" s="12" t="s">
        <v>34</v>
      </c>
      <c r="G9" s="24" t="str">
        <f t="shared" si="0"/>
        <v>Standard Price</v>
      </c>
    </row>
    <row r="10" spans="1:7" ht="20.399999999999999" customHeight="1" x14ac:dyDescent="0.25">
      <c r="A10" s="10" t="s">
        <v>51</v>
      </c>
      <c r="B10" s="10" t="s">
        <v>52</v>
      </c>
      <c r="C10" s="10" t="s">
        <v>53</v>
      </c>
      <c r="D10" s="10">
        <v>500</v>
      </c>
      <c r="E10" s="10">
        <v>50</v>
      </c>
      <c r="F10" s="10" t="s">
        <v>26</v>
      </c>
      <c r="G10" s="18" t="str">
        <f t="shared" si="0"/>
        <v>High Price</v>
      </c>
    </row>
    <row r="11" spans="1:7" ht="20.399999999999999" customHeight="1" x14ac:dyDescent="0.25">
      <c r="A11" s="12" t="s">
        <v>54</v>
      </c>
      <c r="B11" s="12" t="s">
        <v>55</v>
      </c>
      <c r="C11" s="12" t="s">
        <v>56</v>
      </c>
      <c r="D11" s="12">
        <v>130</v>
      </c>
      <c r="E11" s="12">
        <v>10</v>
      </c>
      <c r="F11" s="12" t="s">
        <v>41</v>
      </c>
      <c r="G11" s="24" t="str">
        <f t="shared" si="0"/>
        <v>Standard Price</v>
      </c>
    </row>
    <row r="12" spans="1:7" ht="20.399999999999999" customHeight="1" x14ac:dyDescent="0.25">
      <c r="A12" s="10" t="s">
        <v>57</v>
      </c>
      <c r="B12" s="10" t="s">
        <v>24</v>
      </c>
      <c r="C12" s="10" t="s">
        <v>58</v>
      </c>
      <c r="D12" s="10">
        <v>950</v>
      </c>
      <c r="E12" s="10">
        <v>25</v>
      </c>
      <c r="F12" s="10" t="s">
        <v>26</v>
      </c>
      <c r="G12" s="18" t="str">
        <f t="shared" si="0"/>
        <v>High Price</v>
      </c>
    </row>
    <row r="13" spans="1:7" ht="20.399999999999999" customHeight="1" x14ac:dyDescent="0.25">
      <c r="A13" s="12" t="s">
        <v>59</v>
      </c>
      <c r="B13" s="12" t="s">
        <v>28</v>
      </c>
      <c r="C13" s="12" t="s">
        <v>47</v>
      </c>
      <c r="D13" s="12">
        <v>90</v>
      </c>
      <c r="E13" s="12">
        <v>40</v>
      </c>
      <c r="F13" s="12" t="s">
        <v>30</v>
      </c>
      <c r="G13" s="24" t="str">
        <f t="shared" si="0"/>
        <v>Standard Price</v>
      </c>
    </row>
    <row r="14" spans="1:7" ht="20.399999999999999" customHeight="1" x14ac:dyDescent="0.25">
      <c r="A14" s="10" t="s">
        <v>60</v>
      </c>
      <c r="B14" s="10" t="s">
        <v>32</v>
      </c>
      <c r="C14" s="10" t="s">
        <v>61</v>
      </c>
      <c r="D14" s="10">
        <v>120</v>
      </c>
      <c r="E14" s="10">
        <v>35</v>
      </c>
      <c r="F14" s="10" t="s">
        <v>34</v>
      </c>
      <c r="G14" s="18" t="str">
        <f t="shared" si="0"/>
        <v>Standard Price</v>
      </c>
    </row>
    <row r="15" spans="1:7" ht="20.399999999999999" customHeight="1" x14ac:dyDescent="0.25">
      <c r="A15" s="12" t="s">
        <v>62</v>
      </c>
      <c r="B15" s="12" t="s">
        <v>63</v>
      </c>
      <c r="C15" s="12" t="s">
        <v>64</v>
      </c>
      <c r="D15" s="12">
        <v>150</v>
      </c>
      <c r="E15" s="12">
        <v>15</v>
      </c>
      <c r="F15" s="12" t="s">
        <v>26</v>
      </c>
      <c r="G15" s="24" t="str">
        <f t="shared" si="0"/>
        <v>Standard Price</v>
      </c>
    </row>
    <row r="16" spans="1:7" ht="20.399999999999999" customHeight="1" x14ac:dyDescent="0.25">
      <c r="A16" s="10" t="s">
        <v>65</v>
      </c>
      <c r="B16" s="10" t="s">
        <v>43</v>
      </c>
      <c r="C16" s="10" t="s">
        <v>66</v>
      </c>
      <c r="D16" s="10">
        <v>250</v>
      </c>
      <c r="E16" s="10">
        <v>20</v>
      </c>
      <c r="F16" s="10" t="s">
        <v>26</v>
      </c>
      <c r="G16" s="18" t="str">
        <f t="shared" si="0"/>
        <v>Standard Price</v>
      </c>
    </row>
    <row r="17" spans="1:7" ht="20.399999999999999" customHeight="1" x14ac:dyDescent="0.25">
      <c r="A17" s="12" t="s">
        <v>67</v>
      </c>
      <c r="B17" s="12" t="s">
        <v>68</v>
      </c>
      <c r="C17" s="12" t="s">
        <v>69</v>
      </c>
      <c r="D17" s="12">
        <v>50</v>
      </c>
      <c r="E17" s="12">
        <v>35</v>
      </c>
      <c r="F17" s="12" t="s">
        <v>70</v>
      </c>
      <c r="G17" s="24" t="str">
        <f t="shared" si="0"/>
        <v>Standard Price</v>
      </c>
    </row>
    <row r="18" spans="1:7" ht="20.399999999999999" customHeight="1" x14ac:dyDescent="0.25">
      <c r="A18" s="10" t="s">
        <v>71</v>
      </c>
      <c r="B18" s="10" t="s">
        <v>63</v>
      </c>
      <c r="C18" s="10" t="s">
        <v>72</v>
      </c>
      <c r="D18" s="10">
        <v>160</v>
      </c>
      <c r="E18" s="10">
        <v>15</v>
      </c>
      <c r="F18" s="10" t="s">
        <v>26</v>
      </c>
      <c r="G18" s="18" t="str">
        <f t="shared" si="0"/>
        <v>Standard Price</v>
      </c>
    </row>
    <row r="19" spans="1:7" ht="20.399999999999999" customHeight="1" x14ac:dyDescent="0.25">
      <c r="A19" s="12" t="s">
        <v>73</v>
      </c>
      <c r="B19" s="12" t="s">
        <v>24</v>
      </c>
      <c r="C19" s="12" t="s">
        <v>74</v>
      </c>
      <c r="D19" s="12">
        <v>980</v>
      </c>
      <c r="E19" s="12">
        <v>10</v>
      </c>
      <c r="F19" s="12" t="s">
        <v>26</v>
      </c>
      <c r="G19" s="24" t="str">
        <f t="shared" si="0"/>
        <v>High Price</v>
      </c>
    </row>
    <row r="20" spans="1:7" ht="20.399999999999999" customHeight="1" x14ac:dyDescent="0.25">
      <c r="A20" s="10" t="s">
        <v>75</v>
      </c>
      <c r="B20" s="10" t="s">
        <v>76</v>
      </c>
      <c r="C20" s="10" t="s">
        <v>77</v>
      </c>
      <c r="D20" s="10">
        <v>150</v>
      </c>
      <c r="E20" s="10">
        <v>15</v>
      </c>
      <c r="F20" s="10" t="s">
        <v>30</v>
      </c>
      <c r="G20" s="18" t="str">
        <f t="shared" si="0"/>
        <v>Standard Price</v>
      </c>
    </row>
    <row r="21" spans="1:7" ht="20.399999999999999" customHeight="1" x14ac:dyDescent="0.25">
      <c r="A21" s="12" t="s">
        <v>78</v>
      </c>
      <c r="B21" s="12" t="s">
        <v>79</v>
      </c>
      <c r="C21" s="12" t="s">
        <v>80</v>
      </c>
      <c r="D21" s="12">
        <v>200</v>
      </c>
      <c r="E21" s="12">
        <v>10</v>
      </c>
      <c r="F21" s="12" t="s">
        <v>41</v>
      </c>
      <c r="G21" s="24" t="str">
        <f t="shared" si="0"/>
        <v>Standard Price</v>
      </c>
    </row>
    <row r="22" spans="1:7" ht="20.399999999999999" customHeight="1" x14ac:dyDescent="0.25">
      <c r="A22" s="10" t="s">
        <v>81</v>
      </c>
      <c r="B22" s="10" t="s">
        <v>82</v>
      </c>
      <c r="C22" s="10" t="s">
        <v>83</v>
      </c>
      <c r="D22" s="10">
        <v>700</v>
      </c>
      <c r="E22" s="10">
        <v>50</v>
      </c>
      <c r="F22" s="10" t="s">
        <v>26</v>
      </c>
      <c r="G22" s="18" t="str">
        <f t="shared" si="0"/>
        <v>High Price</v>
      </c>
    </row>
    <row r="23" spans="1:7" ht="20.399999999999999" customHeight="1" x14ac:dyDescent="0.25">
      <c r="A23" s="12" t="s">
        <v>84</v>
      </c>
      <c r="B23" s="12" t="s">
        <v>85</v>
      </c>
      <c r="C23" s="12" t="s">
        <v>86</v>
      </c>
      <c r="D23" s="12">
        <v>80</v>
      </c>
      <c r="E23" s="12">
        <v>20</v>
      </c>
      <c r="F23" s="12" t="s">
        <v>34</v>
      </c>
      <c r="G23" s="24" t="str">
        <f t="shared" si="0"/>
        <v>Standard Price</v>
      </c>
    </row>
    <row r="24" spans="1:7" ht="20.399999999999999" customHeight="1" x14ac:dyDescent="0.25">
      <c r="A24" s="10" t="s">
        <v>87</v>
      </c>
      <c r="B24" s="10" t="s">
        <v>88</v>
      </c>
      <c r="C24" s="10" t="s">
        <v>89</v>
      </c>
      <c r="D24" s="10">
        <v>150</v>
      </c>
      <c r="E24" s="10">
        <v>30</v>
      </c>
      <c r="F24" s="10" t="s">
        <v>26</v>
      </c>
      <c r="G24" s="18" t="str">
        <f t="shared" si="0"/>
        <v>Standard Price</v>
      </c>
    </row>
    <row r="25" spans="1:7" ht="20.399999999999999" customHeight="1" x14ac:dyDescent="0.25">
      <c r="A25" s="12" t="s">
        <v>67</v>
      </c>
      <c r="B25" s="12" t="s">
        <v>68</v>
      </c>
      <c r="C25" s="12" t="s">
        <v>69</v>
      </c>
      <c r="D25" s="12">
        <v>50</v>
      </c>
      <c r="E25" s="12">
        <v>35</v>
      </c>
      <c r="F25" s="12" t="s">
        <v>70</v>
      </c>
      <c r="G25" s="24" t="str">
        <f t="shared" si="0"/>
        <v>Standard Price</v>
      </c>
    </row>
    <row r="26" spans="1:7" ht="20.399999999999999" customHeight="1" x14ac:dyDescent="0.25">
      <c r="A26" s="10" t="s">
        <v>90</v>
      </c>
      <c r="B26" s="10" t="s">
        <v>36</v>
      </c>
      <c r="C26" s="10" t="s">
        <v>91</v>
      </c>
      <c r="D26" s="10">
        <v>800</v>
      </c>
      <c r="E26" s="10">
        <v>45</v>
      </c>
      <c r="F26" s="10" t="s">
        <v>26</v>
      </c>
      <c r="G26" s="18" t="str">
        <f t="shared" si="0"/>
        <v>High Price</v>
      </c>
    </row>
    <row r="27" spans="1:7" ht="20.399999999999999" customHeight="1" x14ac:dyDescent="0.25">
      <c r="A27" s="12" t="s">
        <v>92</v>
      </c>
      <c r="B27" s="12" t="s">
        <v>76</v>
      </c>
      <c r="C27" s="12" t="s">
        <v>93</v>
      </c>
      <c r="D27" s="12">
        <v>130</v>
      </c>
      <c r="E27" s="12">
        <v>25</v>
      </c>
      <c r="F27" s="12" t="s">
        <v>30</v>
      </c>
      <c r="G27" s="24" t="str">
        <f t="shared" si="0"/>
        <v>Standard Price</v>
      </c>
    </row>
    <row r="28" spans="1:7" ht="20.399999999999999" customHeight="1" x14ac:dyDescent="0.25">
      <c r="A28" s="10" t="s">
        <v>94</v>
      </c>
      <c r="B28" s="10" t="s">
        <v>49</v>
      </c>
      <c r="C28" s="10" t="s">
        <v>95</v>
      </c>
      <c r="D28" s="10">
        <v>400</v>
      </c>
      <c r="E28" s="10">
        <v>40</v>
      </c>
      <c r="F28" s="10" t="s">
        <v>34</v>
      </c>
      <c r="G28" s="18" t="str">
        <f t="shared" si="0"/>
        <v>Standard Price</v>
      </c>
    </row>
    <row r="29" spans="1:7" ht="20.399999999999999" customHeight="1" x14ac:dyDescent="0.25">
      <c r="A29" s="12" t="s">
        <v>65</v>
      </c>
      <c r="B29" s="12" t="s">
        <v>43</v>
      </c>
      <c r="C29" s="12" t="s">
        <v>66</v>
      </c>
      <c r="D29" s="12">
        <v>230</v>
      </c>
      <c r="E29" s="12">
        <v>20</v>
      </c>
      <c r="F29" s="12" t="s">
        <v>26</v>
      </c>
      <c r="G29" s="24" t="str">
        <f t="shared" si="0"/>
        <v>Standard Price</v>
      </c>
    </row>
    <row r="30" spans="1:7" ht="20.399999999999999" customHeight="1" x14ac:dyDescent="0.25">
      <c r="A30" s="10" t="s">
        <v>96</v>
      </c>
      <c r="B30" s="10" t="s">
        <v>97</v>
      </c>
      <c r="C30" s="10" t="s">
        <v>98</v>
      </c>
      <c r="D30" s="10">
        <v>60</v>
      </c>
      <c r="E30" s="10">
        <v>30</v>
      </c>
      <c r="F30" s="10" t="s">
        <v>30</v>
      </c>
      <c r="G30" s="18" t="str">
        <f t="shared" si="0"/>
        <v>Standard Price</v>
      </c>
    </row>
    <row r="31" spans="1:7" ht="20.399999999999999" customHeight="1" x14ac:dyDescent="0.25">
      <c r="A31" s="12" t="s">
        <v>99</v>
      </c>
      <c r="B31" s="12" t="s">
        <v>100</v>
      </c>
      <c r="C31" s="12" t="s">
        <v>101</v>
      </c>
      <c r="D31" s="12">
        <v>40</v>
      </c>
      <c r="E31" s="12">
        <v>10</v>
      </c>
      <c r="F31" s="12" t="s">
        <v>34</v>
      </c>
      <c r="G31" s="24" t="str">
        <f t="shared" si="0"/>
        <v>Standard Price</v>
      </c>
    </row>
    <row r="32" spans="1:7" ht="20.399999999999999" customHeight="1" x14ac:dyDescent="0.25">
      <c r="A32" s="10" t="s">
        <v>102</v>
      </c>
      <c r="B32" s="10" t="s">
        <v>88</v>
      </c>
      <c r="C32" s="10" t="s">
        <v>103</v>
      </c>
      <c r="D32" s="10">
        <v>130</v>
      </c>
      <c r="E32" s="10">
        <v>5</v>
      </c>
      <c r="F32" s="10" t="s">
        <v>26</v>
      </c>
      <c r="G32" s="18" t="str">
        <f t="shared" si="0"/>
        <v>Standard Price</v>
      </c>
    </row>
    <row r="33" spans="1:7" ht="20.399999999999999" customHeight="1" x14ac:dyDescent="0.25">
      <c r="A33" s="12" t="s">
        <v>104</v>
      </c>
      <c r="B33" s="12" t="s">
        <v>105</v>
      </c>
      <c r="C33" s="12" t="s">
        <v>106</v>
      </c>
      <c r="D33" s="12">
        <v>50</v>
      </c>
      <c r="E33" s="12">
        <v>50</v>
      </c>
      <c r="F33" s="12" t="s">
        <v>30</v>
      </c>
      <c r="G33" s="24" t="str">
        <f t="shared" si="0"/>
        <v>Standard Price</v>
      </c>
    </row>
    <row r="34" spans="1:7" ht="20.399999999999999" customHeight="1" x14ac:dyDescent="0.25">
      <c r="A34" s="10" t="s">
        <v>57</v>
      </c>
      <c r="B34" s="10" t="s">
        <v>24</v>
      </c>
      <c r="C34" s="10" t="s">
        <v>58</v>
      </c>
      <c r="D34" s="10">
        <v>950</v>
      </c>
      <c r="E34" s="10">
        <v>25</v>
      </c>
      <c r="F34" s="10" t="s">
        <v>26</v>
      </c>
      <c r="G34" s="18" t="str">
        <f t="shared" si="0"/>
        <v>High Price</v>
      </c>
    </row>
    <row r="35" spans="1:7" ht="20.399999999999999" customHeight="1" x14ac:dyDescent="0.25">
      <c r="A35" s="12" t="s">
        <v>107</v>
      </c>
      <c r="B35" s="12" t="s">
        <v>108</v>
      </c>
      <c r="C35" s="12" t="s">
        <v>109</v>
      </c>
      <c r="D35" s="12">
        <v>100</v>
      </c>
      <c r="E35" s="12">
        <v>20</v>
      </c>
      <c r="F35" s="12" t="s">
        <v>70</v>
      </c>
      <c r="G35" s="24" t="str">
        <f t="shared" si="0"/>
        <v>Standard Price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9DA2-D404-429F-9A39-A7F136766760}">
  <dimension ref="A1:J35"/>
  <sheetViews>
    <sheetView workbookViewId="0">
      <selection activeCell="K1" sqref="K1"/>
    </sheetView>
  </sheetViews>
  <sheetFormatPr defaultColWidth="14.88671875" defaultRowHeight="22.8" customHeight="1" x14ac:dyDescent="0.25"/>
  <cols>
    <col min="7" max="8" width="14.88671875" customWidth="1"/>
    <col min="9" max="9" width="48.6640625" customWidth="1"/>
    <col min="10" max="10" width="16" customWidth="1"/>
  </cols>
  <sheetData>
    <row r="1" spans="1:10" ht="26.4" customHeight="1" x14ac:dyDescent="0.25">
      <c r="A1" s="11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</row>
    <row r="2" spans="1:10" ht="22.8" customHeight="1" x14ac:dyDescent="0.25">
      <c r="A2" s="10" t="s">
        <v>23</v>
      </c>
      <c r="B2" s="10" t="s">
        <v>24</v>
      </c>
      <c r="C2" s="10" t="s">
        <v>25</v>
      </c>
      <c r="D2" s="10">
        <v>1000</v>
      </c>
      <c r="E2" s="10">
        <v>30</v>
      </c>
      <c r="F2" s="10" t="s">
        <v>26</v>
      </c>
    </row>
    <row r="3" spans="1:10" ht="22.8" customHeight="1" x14ac:dyDescent="0.25">
      <c r="A3" s="12" t="s">
        <v>27</v>
      </c>
      <c r="B3" s="12" t="s">
        <v>28</v>
      </c>
      <c r="C3" s="12" t="s">
        <v>29</v>
      </c>
      <c r="D3" s="12">
        <v>80</v>
      </c>
      <c r="E3" s="12">
        <v>15</v>
      </c>
      <c r="F3" s="12" t="s">
        <v>30</v>
      </c>
      <c r="I3" s="25" t="s">
        <v>110</v>
      </c>
      <c r="J3" s="25" t="s">
        <v>111</v>
      </c>
    </row>
    <row r="4" spans="1:10" ht="22.8" customHeight="1" x14ac:dyDescent="0.25">
      <c r="A4" s="10" t="s">
        <v>31</v>
      </c>
      <c r="B4" s="10" t="s">
        <v>32</v>
      </c>
      <c r="C4" s="10" t="s">
        <v>33</v>
      </c>
      <c r="D4" s="10">
        <v>130</v>
      </c>
      <c r="E4" s="10">
        <v>40</v>
      </c>
      <c r="F4" s="10" t="s">
        <v>34</v>
      </c>
      <c r="I4" s="26" t="s">
        <v>119</v>
      </c>
      <c r="J4" s="27">
        <f>SUMIF(F2:F35,"Electronics",D2:D35)</f>
        <v>8050</v>
      </c>
    </row>
    <row r="5" spans="1:10" ht="22.8" customHeight="1" x14ac:dyDescent="0.25">
      <c r="A5" s="12" t="s">
        <v>35</v>
      </c>
      <c r="B5" s="12" t="s">
        <v>36</v>
      </c>
      <c r="C5" s="12" t="s">
        <v>37</v>
      </c>
      <c r="D5" s="12">
        <v>900</v>
      </c>
      <c r="E5" s="12">
        <v>25</v>
      </c>
      <c r="F5" s="12" t="s">
        <v>26</v>
      </c>
      <c r="I5" s="26" t="s">
        <v>120</v>
      </c>
      <c r="J5" s="27">
        <f>COUNTIF(D2:D35,"&lt;100")</f>
        <v>11</v>
      </c>
    </row>
    <row r="6" spans="1:10" ht="22.8" customHeight="1" x14ac:dyDescent="0.25">
      <c r="A6" s="10" t="s">
        <v>38</v>
      </c>
      <c r="B6" s="10" t="s">
        <v>39</v>
      </c>
      <c r="C6" s="10" t="s">
        <v>40</v>
      </c>
      <c r="D6" s="10">
        <v>70</v>
      </c>
      <c r="E6" s="10">
        <v>20</v>
      </c>
      <c r="F6" s="10" t="s">
        <v>41</v>
      </c>
      <c r="I6" s="17"/>
    </row>
    <row r="7" spans="1:10" ht="22.8" customHeight="1" x14ac:dyDescent="0.25">
      <c r="A7" s="12" t="s">
        <v>42</v>
      </c>
      <c r="B7" s="12" t="s">
        <v>43</v>
      </c>
      <c r="C7" s="12" t="s">
        <v>44</v>
      </c>
      <c r="D7" s="12">
        <v>200</v>
      </c>
      <c r="E7" s="12">
        <v>45</v>
      </c>
      <c r="F7" s="12" t="s">
        <v>26</v>
      </c>
      <c r="I7" s="17"/>
    </row>
    <row r="8" spans="1:10" ht="22.8" customHeight="1" x14ac:dyDescent="0.25">
      <c r="A8" s="10" t="s">
        <v>45</v>
      </c>
      <c r="B8" s="10" t="s">
        <v>46</v>
      </c>
      <c r="C8" s="10" t="s">
        <v>47</v>
      </c>
      <c r="D8" s="10">
        <v>30</v>
      </c>
      <c r="E8" s="10">
        <v>5</v>
      </c>
      <c r="F8" s="10" t="s">
        <v>30</v>
      </c>
    </row>
    <row r="9" spans="1:10" ht="22.8" customHeight="1" x14ac:dyDescent="0.25">
      <c r="A9" s="12" t="s">
        <v>48</v>
      </c>
      <c r="B9" s="12" t="s">
        <v>49</v>
      </c>
      <c r="C9" s="12" t="s">
        <v>50</v>
      </c>
      <c r="D9" s="12">
        <v>90</v>
      </c>
      <c r="E9" s="12">
        <v>35</v>
      </c>
      <c r="F9" s="12" t="s">
        <v>34</v>
      </c>
    </row>
    <row r="10" spans="1:10" ht="22.8" customHeight="1" x14ac:dyDescent="0.25">
      <c r="A10" s="10" t="s">
        <v>51</v>
      </c>
      <c r="B10" s="10" t="s">
        <v>52</v>
      </c>
      <c r="C10" s="10" t="s">
        <v>53</v>
      </c>
      <c r="D10" s="10">
        <v>500</v>
      </c>
      <c r="E10" s="10">
        <v>50</v>
      </c>
      <c r="F10" s="10" t="s">
        <v>26</v>
      </c>
    </row>
    <row r="11" spans="1:10" ht="22.8" customHeight="1" x14ac:dyDescent="0.25">
      <c r="A11" s="12" t="s">
        <v>54</v>
      </c>
      <c r="B11" s="12" t="s">
        <v>55</v>
      </c>
      <c r="C11" s="12" t="s">
        <v>56</v>
      </c>
      <c r="D11" s="12">
        <v>130</v>
      </c>
      <c r="E11" s="12">
        <v>10</v>
      </c>
      <c r="F11" s="12" t="s">
        <v>41</v>
      </c>
    </row>
    <row r="12" spans="1:10" ht="22.8" customHeight="1" x14ac:dyDescent="0.25">
      <c r="A12" s="10" t="s">
        <v>57</v>
      </c>
      <c r="B12" s="10" t="s">
        <v>24</v>
      </c>
      <c r="C12" s="10" t="s">
        <v>58</v>
      </c>
      <c r="D12" s="10">
        <v>950</v>
      </c>
      <c r="E12" s="10">
        <v>25</v>
      </c>
      <c r="F12" s="10" t="s">
        <v>26</v>
      </c>
    </row>
    <row r="13" spans="1:10" ht="22.8" customHeight="1" x14ac:dyDescent="0.25">
      <c r="A13" s="12" t="s">
        <v>59</v>
      </c>
      <c r="B13" s="12" t="s">
        <v>28</v>
      </c>
      <c r="C13" s="12" t="s">
        <v>47</v>
      </c>
      <c r="D13" s="12">
        <v>90</v>
      </c>
      <c r="E13" s="12">
        <v>40</v>
      </c>
      <c r="F13" s="12" t="s">
        <v>30</v>
      </c>
    </row>
    <row r="14" spans="1:10" ht="22.8" customHeight="1" x14ac:dyDescent="0.25">
      <c r="A14" s="10" t="s">
        <v>60</v>
      </c>
      <c r="B14" s="10" t="s">
        <v>32</v>
      </c>
      <c r="C14" s="10" t="s">
        <v>61</v>
      </c>
      <c r="D14" s="10">
        <v>120</v>
      </c>
      <c r="E14" s="10">
        <v>35</v>
      </c>
      <c r="F14" s="10" t="s">
        <v>34</v>
      </c>
    </row>
    <row r="15" spans="1:10" ht="22.8" customHeight="1" x14ac:dyDescent="0.25">
      <c r="A15" s="12" t="s">
        <v>62</v>
      </c>
      <c r="B15" s="12" t="s">
        <v>63</v>
      </c>
      <c r="C15" s="12" t="s">
        <v>64</v>
      </c>
      <c r="D15" s="12">
        <v>150</v>
      </c>
      <c r="E15" s="12">
        <v>15</v>
      </c>
      <c r="F15" s="12" t="s">
        <v>26</v>
      </c>
    </row>
    <row r="16" spans="1:10" ht="22.8" customHeight="1" x14ac:dyDescent="0.25">
      <c r="A16" s="10" t="s">
        <v>65</v>
      </c>
      <c r="B16" s="10" t="s">
        <v>43</v>
      </c>
      <c r="C16" s="10" t="s">
        <v>66</v>
      </c>
      <c r="D16" s="10">
        <v>250</v>
      </c>
      <c r="E16" s="10">
        <v>20</v>
      </c>
      <c r="F16" s="10" t="s">
        <v>26</v>
      </c>
    </row>
    <row r="17" spans="1:6" ht="22.8" customHeight="1" x14ac:dyDescent="0.25">
      <c r="A17" s="12" t="s">
        <v>67</v>
      </c>
      <c r="B17" s="12" t="s">
        <v>68</v>
      </c>
      <c r="C17" s="12" t="s">
        <v>69</v>
      </c>
      <c r="D17" s="12">
        <v>50</v>
      </c>
      <c r="E17" s="12">
        <v>35</v>
      </c>
      <c r="F17" s="12" t="s">
        <v>70</v>
      </c>
    </row>
    <row r="18" spans="1:6" ht="22.8" customHeight="1" x14ac:dyDescent="0.25">
      <c r="A18" s="10" t="s">
        <v>71</v>
      </c>
      <c r="B18" s="10" t="s">
        <v>63</v>
      </c>
      <c r="C18" s="10" t="s">
        <v>72</v>
      </c>
      <c r="D18" s="10">
        <v>160</v>
      </c>
      <c r="E18" s="10">
        <v>15</v>
      </c>
      <c r="F18" s="10" t="s">
        <v>26</v>
      </c>
    </row>
    <row r="19" spans="1:6" ht="22.8" customHeight="1" x14ac:dyDescent="0.25">
      <c r="A19" s="12" t="s">
        <v>73</v>
      </c>
      <c r="B19" s="12" t="s">
        <v>24</v>
      </c>
      <c r="C19" s="12" t="s">
        <v>74</v>
      </c>
      <c r="D19" s="12">
        <v>980</v>
      </c>
      <c r="E19" s="12">
        <v>10</v>
      </c>
      <c r="F19" s="12" t="s">
        <v>26</v>
      </c>
    </row>
    <row r="20" spans="1:6" ht="22.8" customHeight="1" x14ac:dyDescent="0.25">
      <c r="A20" s="10" t="s">
        <v>75</v>
      </c>
      <c r="B20" s="10" t="s">
        <v>76</v>
      </c>
      <c r="C20" s="10" t="s">
        <v>77</v>
      </c>
      <c r="D20" s="10">
        <v>150</v>
      </c>
      <c r="E20" s="10">
        <v>15</v>
      </c>
      <c r="F20" s="10" t="s">
        <v>30</v>
      </c>
    </row>
    <row r="21" spans="1:6" ht="22.8" customHeight="1" x14ac:dyDescent="0.25">
      <c r="A21" s="12" t="s">
        <v>78</v>
      </c>
      <c r="B21" s="12" t="s">
        <v>79</v>
      </c>
      <c r="C21" s="12" t="s">
        <v>80</v>
      </c>
      <c r="D21" s="12">
        <v>200</v>
      </c>
      <c r="E21" s="12">
        <v>10</v>
      </c>
      <c r="F21" s="12" t="s">
        <v>41</v>
      </c>
    </row>
    <row r="22" spans="1:6" ht="22.8" customHeight="1" x14ac:dyDescent="0.25">
      <c r="A22" s="10" t="s">
        <v>81</v>
      </c>
      <c r="B22" s="10" t="s">
        <v>82</v>
      </c>
      <c r="C22" s="10" t="s">
        <v>83</v>
      </c>
      <c r="D22" s="10">
        <v>700</v>
      </c>
      <c r="E22" s="10">
        <v>50</v>
      </c>
      <c r="F22" s="10" t="s">
        <v>26</v>
      </c>
    </row>
    <row r="23" spans="1:6" ht="22.8" customHeight="1" x14ac:dyDescent="0.25">
      <c r="A23" s="12" t="s">
        <v>84</v>
      </c>
      <c r="B23" s="12" t="s">
        <v>85</v>
      </c>
      <c r="C23" s="12" t="s">
        <v>86</v>
      </c>
      <c r="D23" s="12">
        <v>80</v>
      </c>
      <c r="E23" s="12">
        <v>20</v>
      </c>
      <c r="F23" s="12" t="s">
        <v>34</v>
      </c>
    </row>
    <row r="24" spans="1:6" ht="22.8" customHeight="1" x14ac:dyDescent="0.25">
      <c r="A24" s="10" t="s">
        <v>87</v>
      </c>
      <c r="B24" s="10" t="s">
        <v>88</v>
      </c>
      <c r="C24" s="10" t="s">
        <v>89</v>
      </c>
      <c r="D24" s="10">
        <v>150</v>
      </c>
      <c r="E24" s="10">
        <v>30</v>
      </c>
      <c r="F24" s="10" t="s">
        <v>26</v>
      </c>
    </row>
    <row r="25" spans="1:6" ht="22.8" customHeight="1" x14ac:dyDescent="0.25">
      <c r="A25" s="12" t="s">
        <v>67</v>
      </c>
      <c r="B25" s="12" t="s">
        <v>68</v>
      </c>
      <c r="C25" s="12" t="s">
        <v>69</v>
      </c>
      <c r="D25" s="12">
        <v>50</v>
      </c>
      <c r="E25" s="12">
        <v>35</v>
      </c>
      <c r="F25" s="12" t="s">
        <v>70</v>
      </c>
    </row>
    <row r="26" spans="1:6" ht="22.8" customHeight="1" x14ac:dyDescent="0.25">
      <c r="A26" s="10" t="s">
        <v>90</v>
      </c>
      <c r="B26" s="10" t="s">
        <v>36</v>
      </c>
      <c r="C26" s="10" t="s">
        <v>91</v>
      </c>
      <c r="D26" s="10">
        <v>800</v>
      </c>
      <c r="E26" s="10">
        <v>45</v>
      </c>
      <c r="F26" s="10" t="s">
        <v>26</v>
      </c>
    </row>
    <row r="27" spans="1:6" ht="22.8" customHeight="1" x14ac:dyDescent="0.25">
      <c r="A27" s="12" t="s">
        <v>92</v>
      </c>
      <c r="B27" s="12" t="s">
        <v>76</v>
      </c>
      <c r="C27" s="12" t="s">
        <v>93</v>
      </c>
      <c r="D27" s="12">
        <v>130</v>
      </c>
      <c r="E27" s="12">
        <v>25</v>
      </c>
      <c r="F27" s="12" t="s">
        <v>30</v>
      </c>
    </row>
    <row r="28" spans="1:6" ht="22.8" customHeight="1" x14ac:dyDescent="0.25">
      <c r="A28" s="10" t="s">
        <v>94</v>
      </c>
      <c r="B28" s="10" t="s">
        <v>49</v>
      </c>
      <c r="C28" s="10" t="s">
        <v>95</v>
      </c>
      <c r="D28" s="10">
        <v>400</v>
      </c>
      <c r="E28" s="10">
        <v>40</v>
      </c>
      <c r="F28" s="10" t="s">
        <v>34</v>
      </c>
    </row>
    <row r="29" spans="1:6" ht="22.8" customHeight="1" x14ac:dyDescent="0.25">
      <c r="A29" s="12" t="s">
        <v>65</v>
      </c>
      <c r="B29" s="12" t="s">
        <v>43</v>
      </c>
      <c r="C29" s="12" t="s">
        <v>66</v>
      </c>
      <c r="D29" s="12">
        <v>230</v>
      </c>
      <c r="E29" s="12">
        <v>20</v>
      </c>
      <c r="F29" s="12" t="s">
        <v>26</v>
      </c>
    </row>
    <row r="30" spans="1:6" ht="22.8" customHeight="1" x14ac:dyDescent="0.25">
      <c r="A30" s="10" t="s">
        <v>96</v>
      </c>
      <c r="B30" s="10" t="s">
        <v>97</v>
      </c>
      <c r="C30" s="10" t="s">
        <v>98</v>
      </c>
      <c r="D30" s="10">
        <v>60</v>
      </c>
      <c r="E30" s="10">
        <v>30</v>
      </c>
      <c r="F30" s="10" t="s">
        <v>30</v>
      </c>
    </row>
    <row r="31" spans="1:6" ht="22.8" customHeight="1" x14ac:dyDescent="0.25">
      <c r="A31" s="12" t="s">
        <v>99</v>
      </c>
      <c r="B31" s="12" t="s">
        <v>100</v>
      </c>
      <c r="C31" s="12" t="s">
        <v>101</v>
      </c>
      <c r="D31" s="12">
        <v>40</v>
      </c>
      <c r="E31" s="12">
        <v>10</v>
      </c>
      <c r="F31" s="12" t="s">
        <v>34</v>
      </c>
    </row>
    <row r="32" spans="1:6" ht="22.8" customHeight="1" x14ac:dyDescent="0.25">
      <c r="A32" s="10" t="s">
        <v>102</v>
      </c>
      <c r="B32" s="10" t="s">
        <v>88</v>
      </c>
      <c r="C32" s="10" t="s">
        <v>103</v>
      </c>
      <c r="D32" s="10">
        <v>130</v>
      </c>
      <c r="E32" s="10">
        <v>5</v>
      </c>
      <c r="F32" s="10" t="s">
        <v>26</v>
      </c>
    </row>
    <row r="33" spans="1:6" ht="22.8" customHeight="1" x14ac:dyDescent="0.25">
      <c r="A33" s="12" t="s">
        <v>104</v>
      </c>
      <c r="B33" s="12" t="s">
        <v>105</v>
      </c>
      <c r="C33" s="12" t="s">
        <v>106</v>
      </c>
      <c r="D33" s="12">
        <v>50</v>
      </c>
      <c r="E33" s="12">
        <v>50</v>
      </c>
      <c r="F33" s="12" t="s">
        <v>30</v>
      </c>
    </row>
    <row r="34" spans="1:6" ht="22.8" customHeight="1" x14ac:dyDescent="0.25">
      <c r="A34" s="10" t="s">
        <v>57</v>
      </c>
      <c r="B34" s="10" t="s">
        <v>24</v>
      </c>
      <c r="C34" s="10" t="s">
        <v>58</v>
      </c>
      <c r="D34" s="10">
        <v>950</v>
      </c>
      <c r="E34" s="10">
        <v>25</v>
      </c>
      <c r="F34" s="10" t="s">
        <v>26</v>
      </c>
    </row>
    <row r="35" spans="1:6" ht="22.8" customHeight="1" x14ac:dyDescent="0.25">
      <c r="A35" s="12" t="s">
        <v>107</v>
      </c>
      <c r="B35" s="12" t="s">
        <v>108</v>
      </c>
      <c r="C35" s="12" t="s">
        <v>109</v>
      </c>
      <c r="D35" s="12">
        <v>100</v>
      </c>
      <c r="E35" s="12">
        <v>20</v>
      </c>
      <c r="F35" s="12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8819-DB4B-4A3A-9F69-87C33D2FC839}">
  <dimension ref="A1:I35"/>
  <sheetViews>
    <sheetView workbookViewId="0">
      <selection activeCell="K3" sqref="K3"/>
    </sheetView>
  </sheetViews>
  <sheetFormatPr defaultColWidth="13" defaultRowHeight="20.399999999999999" customHeight="1" x14ac:dyDescent="0.25"/>
  <sheetData>
    <row r="1" spans="1:9" ht="28.2" customHeight="1" x14ac:dyDescent="0.25">
      <c r="A1" s="11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  <c r="G1" s="28" t="s">
        <v>121</v>
      </c>
      <c r="H1" s="28" t="s">
        <v>122</v>
      </c>
      <c r="I1" s="28" t="s">
        <v>123</v>
      </c>
    </row>
    <row r="2" spans="1:9" ht="20.399999999999999" customHeight="1" x14ac:dyDescent="0.25">
      <c r="A2" s="10" t="s">
        <v>23</v>
      </c>
      <c r="B2" s="10" t="s">
        <v>24</v>
      </c>
      <c r="C2" s="10" t="s">
        <v>25</v>
      </c>
      <c r="D2" s="10">
        <v>1000</v>
      </c>
      <c r="E2" s="10">
        <v>30</v>
      </c>
      <c r="F2" s="10" t="s">
        <v>26</v>
      </c>
      <c r="G2" s="18" t="str">
        <f>LEFT(A2,2)</f>
        <v>28</v>
      </c>
      <c r="H2" s="18" t="str">
        <f>RIGHT(A2,2)</f>
        <v>US</v>
      </c>
      <c r="I2" s="18" t="str">
        <f>MID(A2,4,3)</f>
        <v>JAN</v>
      </c>
    </row>
    <row r="3" spans="1:9" ht="20.399999999999999" customHeight="1" x14ac:dyDescent="0.25">
      <c r="A3" s="12" t="s">
        <v>27</v>
      </c>
      <c r="B3" s="12" t="s">
        <v>28</v>
      </c>
      <c r="C3" s="12" t="s">
        <v>29</v>
      </c>
      <c r="D3" s="12">
        <v>80</v>
      </c>
      <c r="E3" s="12">
        <v>15</v>
      </c>
      <c r="F3" s="12" t="s">
        <v>30</v>
      </c>
      <c r="G3" s="24" t="str">
        <f t="shared" ref="G3:G35" si="0">LEFT(A3,2)</f>
        <v>15</v>
      </c>
      <c r="H3" s="24" t="str">
        <f t="shared" ref="H3:H35" si="1">RIGHT(A3,2)</f>
        <v>US</v>
      </c>
      <c r="I3" s="24" t="str">
        <f t="shared" ref="I3:I35" si="2">MID(A3,4,3)</f>
        <v>FEB</v>
      </c>
    </row>
    <row r="4" spans="1:9" ht="20.399999999999999" customHeight="1" x14ac:dyDescent="0.25">
      <c r="A4" s="10" t="s">
        <v>31</v>
      </c>
      <c r="B4" s="10" t="s">
        <v>32</v>
      </c>
      <c r="C4" s="10" t="s">
        <v>33</v>
      </c>
      <c r="D4" s="10">
        <v>130</v>
      </c>
      <c r="E4" s="10">
        <v>40</v>
      </c>
      <c r="F4" s="10" t="s">
        <v>34</v>
      </c>
      <c r="G4" s="18" t="str">
        <f t="shared" si="0"/>
        <v>03</v>
      </c>
      <c r="H4" s="18" t="str">
        <f t="shared" si="1"/>
        <v>US</v>
      </c>
      <c r="I4" s="18" t="str">
        <f t="shared" si="2"/>
        <v>MAR</v>
      </c>
    </row>
    <row r="5" spans="1:9" ht="20.399999999999999" customHeight="1" x14ac:dyDescent="0.25">
      <c r="A5" s="12" t="s">
        <v>35</v>
      </c>
      <c r="B5" s="12" t="s">
        <v>36</v>
      </c>
      <c r="C5" s="12" t="s">
        <v>37</v>
      </c>
      <c r="D5" s="12">
        <v>900</v>
      </c>
      <c r="E5" s="12">
        <v>25</v>
      </c>
      <c r="F5" s="12" t="s">
        <v>26</v>
      </c>
      <c r="G5" s="24" t="str">
        <f t="shared" si="0"/>
        <v>11</v>
      </c>
      <c r="H5" s="24" t="str">
        <f t="shared" si="1"/>
        <v>US</v>
      </c>
      <c r="I5" s="24" t="str">
        <f t="shared" si="2"/>
        <v>APR</v>
      </c>
    </row>
    <row r="6" spans="1:9" ht="20.399999999999999" customHeight="1" x14ac:dyDescent="0.25">
      <c r="A6" s="10" t="s">
        <v>38</v>
      </c>
      <c r="B6" s="10" t="s">
        <v>39</v>
      </c>
      <c r="C6" s="10" t="s">
        <v>40</v>
      </c>
      <c r="D6" s="10">
        <v>70</v>
      </c>
      <c r="E6" s="10">
        <v>20</v>
      </c>
      <c r="F6" s="10" t="s">
        <v>41</v>
      </c>
      <c r="G6" s="18" t="str">
        <f t="shared" si="0"/>
        <v>22</v>
      </c>
      <c r="H6" s="18" t="str">
        <f t="shared" si="1"/>
        <v>US</v>
      </c>
      <c r="I6" s="18" t="str">
        <f t="shared" si="2"/>
        <v>MAY</v>
      </c>
    </row>
    <row r="7" spans="1:9" ht="20.399999999999999" customHeight="1" x14ac:dyDescent="0.25">
      <c r="A7" s="12" t="s">
        <v>42</v>
      </c>
      <c r="B7" s="12" t="s">
        <v>43</v>
      </c>
      <c r="C7" s="12" t="s">
        <v>44</v>
      </c>
      <c r="D7" s="12">
        <v>200</v>
      </c>
      <c r="E7" s="12">
        <v>45</v>
      </c>
      <c r="F7" s="12" t="s">
        <v>26</v>
      </c>
      <c r="G7" s="24" t="str">
        <f t="shared" si="0"/>
        <v>07</v>
      </c>
      <c r="H7" s="24" t="str">
        <f t="shared" si="1"/>
        <v>UK</v>
      </c>
      <c r="I7" s="24" t="str">
        <f t="shared" si="2"/>
        <v>JUN</v>
      </c>
    </row>
    <row r="8" spans="1:9" ht="20.399999999999999" customHeight="1" x14ac:dyDescent="0.25">
      <c r="A8" s="10" t="s">
        <v>45</v>
      </c>
      <c r="B8" s="10" t="s">
        <v>46</v>
      </c>
      <c r="C8" s="10" t="s">
        <v>47</v>
      </c>
      <c r="D8" s="10">
        <v>30</v>
      </c>
      <c r="E8" s="10">
        <v>5</v>
      </c>
      <c r="F8" s="10" t="s">
        <v>30</v>
      </c>
      <c r="G8" s="18" t="str">
        <f t="shared" si="0"/>
        <v>19</v>
      </c>
      <c r="H8" s="18" t="str">
        <f t="shared" si="1"/>
        <v>UK</v>
      </c>
      <c r="I8" s="18" t="str">
        <f t="shared" si="2"/>
        <v>JUL</v>
      </c>
    </row>
    <row r="9" spans="1:9" ht="20.399999999999999" customHeight="1" x14ac:dyDescent="0.25">
      <c r="A9" s="12" t="s">
        <v>48</v>
      </c>
      <c r="B9" s="12" t="s">
        <v>49</v>
      </c>
      <c r="C9" s="12" t="s">
        <v>50</v>
      </c>
      <c r="D9" s="12">
        <v>90</v>
      </c>
      <c r="E9" s="12">
        <v>35</v>
      </c>
      <c r="F9" s="12" t="s">
        <v>34</v>
      </c>
      <c r="G9" s="24" t="str">
        <f t="shared" si="0"/>
        <v>23</v>
      </c>
      <c r="H9" s="24" t="str">
        <f t="shared" si="1"/>
        <v>UK</v>
      </c>
      <c r="I9" s="24" t="str">
        <f t="shared" si="2"/>
        <v>AUG</v>
      </c>
    </row>
    <row r="10" spans="1:9" ht="20.399999999999999" customHeight="1" x14ac:dyDescent="0.25">
      <c r="A10" s="10" t="s">
        <v>51</v>
      </c>
      <c r="B10" s="10" t="s">
        <v>52</v>
      </c>
      <c r="C10" s="10" t="s">
        <v>53</v>
      </c>
      <c r="D10" s="10">
        <v>500</v>
      </c>
      <c r="E10" s="10">
        <v>50</v>
      </c>
      <c r="F10" s="10" t="s">
        <v>26</v>
      </c>
      <c r="G10" s="18" t="str">
        <f t="shared" si="0"/>
        <v>05</v>
      </c>
      <c r="H10" s="18" t="str">
        <f t="shared" si="1"/>
        <v>UK</v>
      </c>
      <c r="I10" s="18" t="str">
        <f t="shared" si="2"/>
        <v>SEP</v>
      </c>
    </row>
    <row r="11" spans="1:9" ht="20.399999999999999" customHeight="1" x14ac:dyDescent="0.25">
      <c r="A11" s="12" t="s">
        <v>54</v>
      </c>
      <c r="B11" s="12" t="s">
        <v>55</v>
      </c>
      <c r="C11" s="12" t="s">
        <v>56</v>
      </c>
      <c r="D11" s="12">
        <v>130</v>
      </c>
      <c r="E11" s="12">
        <v>10</v>
      </c>
      <c r="F11" s="12" t="s">
        <v>41</v>
      </c>
      <c r="G11" s="18" t="str">
        <f t="shared" si="0"/>
        <v>14</v>
      </c>
      <c r="H11" s="18" t="str">
        <f t="shared" si="1"/>
        <v>UK</v>
      </c>
      <c r="I11" s="18" t="str">
        <f t="shared" si="2"/>
        <v>OCT</v>
      </c>
    </row>
    <row r="12" spans="1:9" ht="20.399999999999999" customHeight="1" x14ac:dyDescent="0.25">
      <c r="A12" s="10" t="s">
        <v>57</v>
      </c>
      <c r="B12" s="10" t="s">
        <v>24</v>
      </c>
      <c r="C12" s="10" t="s">
        <v>58</v>
      </c>
      <c r="D12" s="10">
        <v>950</v>
      </c>
      <c r="E12" s="10">
        <v>25</v>
      </c>
      <c r="F12" s="10" t="s">
        <v>26</v>
      </c>
      <c r="G12" s="18" t="str">
        <f t="shared" si="0"/>
        <v>17</v>
      </c>
      <c r="H12" s="18" t="str">
        <f t="shared" si="1"/>
        <v>IN</v>
      </c>
      <c r="I12" s="18" t="str">
        <f t="shared" si="2"/>
        <v>JUN</v>
      </c>
    </row>
    <row r="13" spans="1:9" ht="20.399999999999999" customHeight="1" x14ac:dyDescent="0.25">
      <c r="A13" s="12" t="s">
        <v>59</v>
      </c>
      <c r="B13" s="12" t="s">
        <v>28</v>
      </c>
      <c r="C13" s="12" t="s">
        <v>47</v>
      </c>
      <c r="D13" s="12">
        <v>90</v>
      </c>
      <c r="E13" s="12">
        <v>40</v>
      </c>
      <c r="F13" s="12" t="s">
        <v>30</v>
      </c>
      <c r="G13" s="24" t="str">
        <f t="shared" si="0"/>
        <v>25</v>
      </c>
      <c r="H13" s="24" t="str">
        <f t="shared" si="1"/>
        <v>AU</v>
      </c>
      <c r="I13" s="24" t="str">
        <f t="shared" si="2"/>
        <v>NOV</v>
      </c>
    </row>
    <row r="14" spans="1:9" ht="20.399999999999999" customHeight="1" x14ac:dyDescent="0.25">
      <c r="A14" s="10" t="s">
        <v>60</v>
      </c>
      <c r="B14" s="10" t="s">
        <v>32</v>
      </c>
      <c r="C14" s="10" t="s">
        <v>61</v>
      </c>
      <c r="D14" s="10">
        <v>120</v>
      </c>
      <c r="E14" s="10">
        <v>35</v>
      </c>
      <c r="F14" s="10" t="s">
        <v>34</v>
      </c>
      <c r="G14" s="18" t="str">
        <f t="shared" si="0"/>
        <v>08</v>
      </c>
      <c r="H14" s="18" t="str">
        <f t="shared" si="1"/>
        <v>DE</v>
      </c>
      <c r="I14" s="18" t="str">
        <f t="shared" si="2"/>
        <v>DEC</v>
      </c>
    </row>
    <row r="15" spans="1:9" ht="20.399999999999999" customHeight="1" x14ac:dyDescent="0.25">
      <c r="A15" s="12" t="s">
        <v>62</v>
      </c>
      <c r="B15" s="12" t="s">
        <v>63</v>
      </c>
      <c r="C15" s="12" t="s">
        <v>64</v>
      </c>
      <c r="D15" s="12">
        <v>150</v>
      </c>
      <c r="E15" s="12">
        <v>15</v>
      </c>
      <c r="F15" s="12" t="s">
        <v>26</v>
      </c>
      <c r="G15" s="24" t="str">
        <f t="shared" si="0"/>
        <v>18</v>
      </c>
      <c r="H15" s="24" t="str">
        <f t="shared" si="1"/>
        <v>CA</v>
      </c>
      <c r="I15" s="24" t="str">
        <f t="shared" si="2"/>
        <v>FEB</v>
      </c>
    </row>
    <row r="16" spans="1:9" ht="20.399999999999999" customHeight="1" x14ac:dyDescent="0.25">
      <c r="A16" s="10" t="s">
        <v>65</v>
      </c>
      <c r="B16" s="10" t="s">
        <v>43</v>
      </c>
      <c r="C16" s="10" t="s">
        <v>66</v>
      </c>
      <c r="D16" s="10">
        <v>250</v>
      </c>
      <c r="E16" s="10">
        <v>20</v>
      </c>
      <c r="F16" s="10" t="s">
        <v>26</v>
      </c>
      <c r="G16" s="18" t="str">
        <f t="shared" si="0"/>
        <v>16</v>
      </c>
      <c r="H16" s="18" t="str">
        <f t="shared" si="1"/>
        <v>ES</v>
      </c>
      <c r="I16" s="18" t="str">
        <f t="shared" si="2"/>
        <v>APR</v>
      </c>
    </row>
    <row r="17" spans="1:9" ht="20.399999999999999" customHeight="1" x14ac:dyDescent="0.25">
      <c r="A17" s="12" t="s">
        <v>67</v>
      </c>
      <c r="B17" s="12" t="s">
        <v>68</v>
      </c>
      <c r="C17" s="12" t="s">
        <v>69</v>
      </c>
      <c r="D17" s="12">
        <v>50</v>
      </c>
      <c r="E17" s="12">
        <v>35</v>
      </c>
      <c r="F17" s="12" t="s">
        <v>70</v>
      </c>
      <c r="G17" s="24" t="str">
        <f t="shared" si="0"/>
        <v>21</v>
      </c>
      <c r="H17" s="24" t="str">
        <f t="shared" si="1"/>
        <v>CA</v>
      </c>
      <c r="I17" s="24" t="str">
        <f t="shared" si="2"/>
        <v>AUG</v>
      </c>
    </row>
    <row r="18" spans="1:9" ht="20.399999999999999" customHeight="1" x14ac:dyDescent="0.25">
      <c r="A18" s="10" t="s">
        <v>71</v>
      </c>
      <c r="B18" s="10" t="s">
        <v>63</v>
      </c>
      <c r="C18" s="10" t="s">
        <v>72</v>
      </c>
      <c r="D18" s="10">
        <v>160</v>
      </c>
      <c r="E18" s="10">
        <v>15</v>
      </c>
      <c r="F18" s="10" t="s">
        <v>26</v>
      </c>
      <c r="G18" s="18" t="str">
        <f t="shared" si="0"/>
        <v>20</v>
      </c>
      <c r="H18" s="18" t="str">
        <f t="shared" si="1"/>
        <v>CN</v>
      </c>
      <c r="I18" s="18" t="str">
        <f t="shared" si="2"/>
        <v>AUG</v>
      </c>
    </row>
    <row r="19" spans="1:9" ht="20.399999999999999" customHeight="1" x14ac:dyDescent="0.25">
      <c r="A19" s="12" t="s">
        <v>73</v>
      </c>
      <c r="B19" s="12" t="s">
        <v>24</v>
      </c>
      <c r="C19" s="12" t="s">
        <v>74</v>
      </c>
      <c r="D19" s="12">
        <v>980</v>
      </c>
      <c r="E19" s="12">
        <v>10</v>
      </c>
      <c r="F19" s="12" t="s">
        <v>26</v>
      </c>
      <c r="G19" s="24" t="str">
        <f t="shared" si="0"/>
        <v>27</v>
      </c>
      <c r="H19" s="24" t="str">
        <f t="shared" si="1"/>
        <v>IT</v>
      </c>
      <c r="I19" s="24" t="str">
        <f t="shared" si="2"/>
        <v>JAN</v>
      </c>
    </row>
    <row r="20" spans="1:9" ht="20.399999999999999" customHeight="1" x14ac:dyDescent="0.25">
      <c r="A20" s="10" t="s">
        <v>75</v>
      </c>
      <c r="B20" s="10" t="s">
        <v>76</v>
      </c>
      <c r="C20" s="10" t="s">
        <v>77</v>
      </c>
      <c r="D20" s="10">
        <v>150</v>
      </c>
      <c r="E20" s="10">
        <v>15</v>
      </c>
      <c r="F20" s="10" t="s">
        <v>30</v>
      </c>
      <c r="G20" s="18" t="str">
        <f t="shared" si="0"/>
        <v>01</v>
      </c>
      <c r="H20" s="18" t="str">
        <f t="shared" si="1"/>
        <v>UK</v>
      </c>
      <c r="I20" s="18" t="str">
        <f t="shared" si="2"/>
        <v>MAR</v>
      </c>
    </row>
    <row r="21" spans="1:9" ht="20.399999999999999" customHeight="1" x14ac:dyDescent="0.25">
      <c r="A21" s="12" t="s">
        <v>78</v>
      </c>
      <c r="B21" s="12" t="s">
        <v>79</v>
      </c>
      <c r="C21" s="12" t="s">
        <v>80</v>
      </c>
      <c r="D21" s="12">
        <v>200</v>
      </c>
      <c r="E21" s="12">
        <v>10</v>
      </c>
      <c r="F21" s="12" t="s">
        <v>41</v>
      </c>
      <c r="G21" s="24" t="str">
        <f t="shared" si="0"/>
        <v>14</v>
      </c>
      <c r="H21" s="24" t="str">
        <f t="shared" si="1"/>
        <v>US</v>
      </c>
      <c r="I21" s="24" t="str">
        <f t="shared" si="2"/>
        <v>AUG</v>
      </c>
    </row>
    <row r="22" spans="1:9" ht="20.399999999999999" customHeight="1" x14ac:dyDescent="0.25">
      <c r="A22" s="10" t="s">
        <v>81</v>
      </c>
      <c r="B22" s="10" t="s">
        <v>82</v>
      </c>
      <c r="C22" s="10" t="s">
        <v>83</v>
      </c>
      <c r="D22" s="10">
        <v>700</v>
      </c>
      <c r="E22" s="10">
        <v>50</v>
      </c>
      <c r="F22" s="10" t="s">
        <v>26</v>
      </c>
      <c r="G22" s="18" t="str">
        <f t="shared" si="0"/>
        <v>14</v>
      </c>
      <c r="H22" s="18" t="str">
        <f t="shared" si="1"/>
        <v>RU</v>
      </c>
      <c r="I22" s="18" t="str">
        <f t="shared" si="2"/>
        <v>MAY</v>
      </c>
    </row>
    <row r="23" spans="1:9" ht="20.399999999999999" customHeight="1" x14ac:dyDescent="0.25">
      <c r="A23" s="12" t="s">
        <v>84</v>
      </c>
      <c r="B23" s="12" t="s">
        <v>85</v>
      </c>
      <c r="C23" s="12" t="s">
        <v>86</v>
      </c>
      <c r="D23" s="12">
        <v>80</v>
      </c>
      <c r="E23" s="12">
        <v>20</v>
      </c>
      <c r="F23" s="12" t="s">
        <v>34</v>
      </c>
      <c r="G23" s="24" t="str">
        <f t="shared" si="0"/>
        <v>09</v>
      </c>
      <c r="H23" s="24" t="str">
        <f t="shared" si="1"/>
        <v>CA</v>
      </c>
      <c r="I23" s="24" t="str">
        <f t="shared" si="2"/>
        <v>JAN</v>
      </c>
    </row>
    <row r="24" spans="1:9" ht="20.399999999999999" customHeight="1" x14ac:dyDescent="0.25">
      <c r="A24" s="10" t="s">
        <v>87</v>
      </c>
      <c r="B24" s="10" t="s">
        <v>88</v>
      </c>
      <c r="C24" s="10" t="s">
        <v>89</v>
      </c>
      <c r="D24" s="10">
        <v>150</v>
      </c>
      <c r="E24" s="10">
        <v>30</v>
      </c>
      <c r="F24" s="10" t="s">
        <v>26</v>
      </c>
      <c r="G24" s="18" t="str">
        <f t="shared" si="0"/>
        <v>19</v>
      </c>
      <c r="H24" s="18" t="str">
        <f t="shared" si="1"/>
        <v>BR</v>
      </c>
      <c r="I24" s="18" t="str">
        <f t="shared" si="2"/>
        <v>JUL</v>
      </c>
    </row>
    <row r="25" spans="1:9" ht="20.399999999999999" customHeight="1" x14ac:dyDescent="0.25">
      <c r="A25" s="12" t="s">
        <v>67</v>
      </c>
      <c r="B25" s="12" t="s">
        <v>68</v>
      </c>
      <c r="C25" s="12" t="s">
        <v>69</v>
      </c>
      <c r="D25" s="12">
        <v>50</v>
      </c>
      <c r="E25" s="12">
        <v>35</v>
      </c>
      <c r="F25" s="12" t="s">
        <v>70</v>
      </c>
      <c r="G25" s="24" t="str">
        <f t="shared" si="0"/>
        <v>21</v>
      </c>
      <c r="H25" s="24" t="str">
        <f t="shared" si="1"/>
        <v>CA</v>
      </c>
      <c r="I25" s="24" t="str">
        <f t="shared" si="2"/>
        <v>AUG</v>
      </c>
    </row>
    <row r="26" spans="1:9" ht="20.399999999999999" customHeight="1" x14ac:dyDescent="0.25">
      <c r="A26" s="10" t="s">
        <v>90</v>
      </c>
      <c r="B26" s="10" t="s">
        <v>36</v>
      </c>
      <c r="C26" s="10" t="s">
        <v>91</v>
      </c>
      <c r="D26" s="10">
        <v>800</v>
      </c>
      <c r="E26" s="10">
        <v>45</v>
      </c>
      <c r="F26" s="10" t="s">
        <v>26</v>
      </c>
      <c r="G26" s="18" t="str">
        <f t="shared" si="0"/>
        <v>29</v>
      </c>
      <c r="H26" s="18" t="str">
        <f t="shared" si="1"/>
        <v>CA</v>
      </c>
      <c r="I26" s="18" t="str">
        <f t="shared" si="2"/>
        <v>SEP</v>
      </c>
    </row>
    <row r="27" spans="1:9" ht="20.399999999999999" customHeight="1" x14ac:dyDescent="0.25">
      <c r="A27" s="12" t="s">
        <v>92</v>
      </c>
      <c r="B27" s="12" t="s">
        <v>76</v>
      </c>
      <c r="C27" s="12" t="s">
        <v>93</v>
      </c>
      <c r="D27" s="12">
        <v>130</v>
      </c>
      <c r="E27" s="12">
        <v>25</v>
      </c>
      <c r="F27" s="12" t="s">
        <v>30</v>
      </c>
      <c r="G27" s="24" t="str">
        <f t="shared" si="0"/>
        <v>03</v>
      </c>
      <c r="H27" s="24" t="str">
        <f t="shared" si="1"/>
        <v>CA</v>
      </c>
      <c r="I27" s="24" t="str">
        <f t="shared" si="2"/>
        <v>JUN</v>
      </c>
    </row>
    <row r="28" spans="1:9" ht="20.399999999999999" customHeight="1" x14ac:dyDescent="0.25">
      <c r="A28" s="10" t="s">
        <v>94</v>
      </c>
      <c r="B28" s="10" t="s">
        <v>49</v>
      </c>
      <c r="C28" s="10" t="s">
        <v>95</v>
      </c>
      <c r="D28" s="10">
        <v>400</v>
      </c>
      <c r="E28" s="10">
        <v>40</v>
      </c>
      <c r="F28" s="10" t="s">
        <v>34</v>
      </c>
      <c r="G28" s="18" t="str">
        <f t="shared" si="0"/>
        <v>11</v>
      </c>
      <c r="H28" s="18" t="str">
        <f t="shared" si="1"/>
        <v>CA</v>
      </c>
      <c r="I28" s="18" t="str">
        <f t="shared" si="2"/>
        <v>JUL</v>
      </c>
    </row>
    <row r="29" spans="1:9" ht="20.399999999999999" customHeight="1" x14ac:dyDescent="0.25">
      <c r="A29" s="12" t="s">
        <v>65</v>
      </c>
      <c r="B29" s="12" t="s">
        <v>43</v>
      </c>
      <c r="C29" s="12" t="s">
        <v>66</v>
      </c>
      <c r="D29" s="12">
        <v>230</v>
      </c>
      <c r="E29" s="12">
        <v>20</v>
      </c>
      <c r="F29" s="12" t="s">
        <v>26</v>
      </c>
      <c r="G29" s="24" t="str">
        <f t="shared" si="0"/>
        <v>16</v>
      </c>
      <c r="H29" s="24" t="str">
        <f t="shared" si="1"/>
        <v>ES</v>
      </c>
      <c r="I29" s="24" t="str">
        <f t="shared" si="2"/>
        <v>APR</v>
      </c>
    </row>
    <row r="30" spans="1:9" ht="20.399999999999999" customHeight="1" x14ac:dyDescent="0.25">
      <c r="A30" s="10" t="s">
        <v>96</v>
      </c>
      <c r="B30" s="10" t="s">
        <v>97</v>
      </c>
      <c r="C30" s="10" t="s">
        <v>98</v>
      </c>
      <c r="D30" s="10">
        <v>60</v>
      </c>
      <c r="E30" s="10">
        <v>30</v>
      </c>
      <c r="F30" s="10" t="s">
        <v>30</v>
      </c>
      <c r="G30" s="18" t="str">
        <f t="shared" si="0"/>
        <v>07</v>
      </c>
      <c r="H30" s="18" t="str">
        <f t="shared" si="1"/>
        <v>CA</v>
      </c>
      <c r="I30" s="18" t="str">
        <f t="shared" si="2"/>
        <v>MAR</v>
      </c>
    </row>
    <row r="31" spans="1:9" ht="20.399999999999999" customHeight="1" x14ac:dyDescent="0.25">
      <c r="A31" s="12" t="s">
        <v>99</v>
      </c>
      <c r="B31" s="12" t="s">
        <v>100</v>
      </c>
      <c r="C31" s="12" t="s">
        <v>101</v>
      </c>
      <c r="D31" s="12">
        <v>40</v>
      </c>
      <c r="E31" s="12">
        <v>10</v>
      </c>
      <c r="F31" s="12" t="s">
        <v>34</v>
      </c>
      <c r="G31" s="24" t="str">
        <f t="shared" si="0"/>
        <v>13</v>
      </c>
      <c r="H31" s="24" t="str">
        <f t="shared" si="1"/>
        <v>CA</v>
      </c>
      <c r="I31" s="24" t="str">
        <f t="shared" si="2"/>
        <v>APR</v>
      </c>
    </row>
    <row r="32" spans="1:9" ht="20.399999999999999" customHeight="1" x14ac:dyDescent="0.25">
      <c r="A32" s="10" t="s">
        <v>102</v>
      </c>
      <c r="B32" s="10" t="s">
        <v>88</v>
      </c>
      <c r="C32" s="10" t="s">
        <v>103</v>
      </c>
      <c r="D32" s="10">
        <v>130</v>
      </c>
      <c r="E32" s="10">
        <v>5</v>
      </c>
      <c r="F32" s="10" t="s">
        <v>26</v>
      </c>
      <c r="G32" s="18" t="str">
        <f t="shared" si="0"/>
        <v>24</v>
      </c>
      <c r="H32" s="18" t="str">
        <f t="shared" si="1"/>
        <v>CA</v>
      </c>
      <c r="I32" s="18" t="str">
        <f t="shared" si="2"/>
        <v>MAY</v>
      </c>
    </row>
    <row r="33" spans="1:9" ht="20.399999999999999" customHeight="1" x14ac:dyDescent="0.25">
      <c r="A33" s="12" t="s">
        <v>104</v>
      </c>
      <c r="B33" s="12" t="s">
        <v>105</v>
      </c>
      <c r="C33" s="12" t="s">
        <v>106</v>
      </c>
      <c r="D33" s="12">
        <v>50</v>
      </c>
      <c r="E33" s="12">
        <v>50</v>
      </c>
      <c r="F33" s="12" t="s">
        <v>30</v>
      </c>
      <c r="G33" s="24" t="str">
        <f t="shared" si="0"/>
        <v>02</v>
      </c>
      <c r="H33" s="24" t="str">
        <f t="shared" si="1"/>
        <v>CA</v>
      </c>
      <c r="I33" s="24" t="str">
        <f t="shared" si="2"/>
        <v>DEC</v>
      </c>
    </row>
    <row r="34" spans="1:9" ht="20.399999999999999" customHeight="1" x14ac:dyDescent="0.25">
      <c r="A34" s="10" t="s">
        <v>57</v>
      </c>
      <c r="B34" s="10" t="s">
        <v>24</v>
      </c>
      <c r="C34" s="10" t="s">
        <v>58</v>
      </c>
      <c r="D34" s="10">
        <v>950</v>
      </c>
      <c r="E34" s="10">
        <v>25</v>
      </c>
      <c r="F34" s="10" t="s">
        <v>26</v>
      </c>
      <c r="G34" s="18" t="str">
        <f t="shared" si="0"/>
        <v>17</v>
      </c>
      <c r="H34" s="18" t="str">
        <f t="shared" si="1"/>
        <v>IN</v>
      </c>
      <c r="I34" s="18" t="str">
        <f t="shared" si="2"/>
        <v>JUN</v>
      </c>
    </row>
    <row r="35" spans="1:9" ht="20.399999999999999" customHeight="1" x14ac:dyDescent="0.25">
      <c r="A35" s="12" t="s">
        <v>107</v>
      </c>
      <c r="B35" s="12" t="s">
        <v>108</v>
      </c>
      <c r="C35" s="12" t="s">
        <v>109</v>
      </c>
      <c r="D35" s="12">
        <v>100</v>
      </c>
      <c r="E35" s="12">
        <v>20</v>
      </c>
      <c r="F35" s="12" t="s">
        <v>70</v>
      </c>
      <c r="G35" s="24" t="str">
        <f t="shared" si="0"/>
        <v>09</v>
      </c>
      <c r="H35" s="24" t="str">
        <f t="shared" si="1"/>
        <v>FR</v>
      </c>
      <c r="I35" s="24" t="str">
        <f t="shared" si="2"/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Instructions</vt:lpstr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2026-09-13T11:42:31Z</dcterms:created>
  <dcterms:modified xsi:type="dcterms:W3CDTF">2026-09-14T07:54:02Z</dcterms:modified>
</cp:coreProperties>
</file>